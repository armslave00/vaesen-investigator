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Documents\TRPG\规则书\Vaesen 北欧奇谭\"/>
    </mc:Choice>
  </mc:AlternateContent>
  <xr:revisionPtr revIDLastSave="0" documentId="13_ncr:1_{748D1581-26F8-4D37-8EF6-1AA7FD79477B}" xr6:coauthVersionLast="47" xr6:coauthVersionMax="47" xr10:uidLastSave="{00000000-0000-0000-0000-000000000000}"/>
  <bookViews>
    <workbookView xWindow="39540" yWindow="1140" windowWidth="28800" windowHeight="15765" xr2:uid="{00000000-000D-0000-FFFF-FFFF00000000}"/>
  </bookViews>
  <sheets>
    <sheet name="角色卡" sheetId="7" r:id="rId1"/>
    <sheet name="天赋表" sheetId="4" r:id="rId2"/>
    <sheet name="资产表" sheetId="5" r:id="rId3"/>
    <sheet name="纪念物表" sheetId="2" r:id="rId4"/>
    <sheet name="辅助表" sheetId="3" state="hidden" r:id="rId5"/>
    <sheet name="更新记录" sheetId="8" state="hidden" r:id="rId6"/>
  </sheets>
  <definedNames>
    <definedName name="纪念物">纪念物表!$B$2:$B$37</definedName>
    <definedName name="军官">辅助表!$B$25:$D$25</definedName>
    <definedName name="猎人">辅助表!$B$23:$D$23</definedName>
    <definedName name="流浪者">辅助表!$B$29:$D$29</definedName>
    <definedName name="牧师">辅助表!$B$26:$D$26</definedName>
    <definedName name="仆人">辅助表!$B$28:$D$28</definedName>
    <definedName name="神秘学家">辅助表!$B$24:$D$24</definedName>
    <definedName name="私家侦探">辅助表!$B$27:$D$27</definedName>
    <definedName name="通用天赋">天赋表!$B$35:$B$58</definedName>
    <definedName name="吸血鬼猎人">辅助表!$B$31:$D$31</definedName>
    <definedName name="学者">辅助表!$B$21:$D$21</definedName>
    <definedName name="医生">辅助表!$B$22:$D$22</definedName>
    <definedName name="作家">辅助表!$B$30:$D$30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7" l="1"/>
  <c r="A18" i="7"/>
  <c r="D31" i="3"/>
  <c r="C31" i="3"/>
  <c r="B31" i="3"/>
  <c r="F12" i="3"/>
  <c r="F11" i="3"/>
  <c r="D12" i="3"/>
  <c r="E12" i="3"/>
  <c r="E16" i="3"/>
  <c r="E17" i="3"/>
  <c r="E18" i="3"/>
  <c r="E28" i="7"/>
  <c r="E27" i="7"/>
  <c r="E26" i="7"/>
  <c r="A11" i="3"/>
  <c r="A10" i="3"/>
  <c r="A29" i="3" s="1"/>
  <c r="A9" i="3"/>
  <c r="A28" i="3" s="1"/>
  <c r="A8" i="3"/>
  <c r="A27" i="3" s="1"/>
  <c r="A7" i="3"/>
  <c r="A26" i="3" s="1"/>
  <c r="A6" i="3"/>
  <c r="A25" i="3" s="1"/>
  <c r="A5" i="3"/>
  <c r="A24" i="3" s="1"/>
  <c r="A4" i="3"/>
  <c r="A23" i="3" s="1"/>
  <c r="A3" i="3"/>
  <c r="A22" i="3" s="1"/>
  <c r="A2" i="3"/>
  <c r="A21" i="3" s="1"/>
  <c r="D2" i="3"/>
  <c r="B21" i="3" s="1"/>
  <c r="E2" i="3"/>
  <c r="C21" i="3" s="1"/>
  <c r="F2" i="3"/>
  <c r="D21" i="3" s="1"/>
  <c r="D3" i="3"/>
  <c r="B22" i="3" s="1"/>
  <c r="E3" i="3"/>
  <c r="C22" i="3" s="1"/>
  <c r="F3" i="3"/>
  <c r="D22" i="3" s="1"/>
  <c r="D4" i="3"/>
  <c r="B23" i="3" s="1"/>
  <c r="E4" i="3"/>
  <c r="C23" i="3" s="1"/>
  <c r="F4" i="3"/>
  <c r="D23" i="3" s="1"/>
  <c r="D5" i="3"/>
  <c r="B24" i="3" s="1"/>
  <c r="E5" i="3"/>
  <c r="C24" i="3" s="1"/>
  <c r="F5" i="3"/>
  <c r="D24" i="3" s="1"/>
  <c r="D6" i="3"/>
  <c r="B25" i="3" s="1"/>
  <c r="E6" i="3"/>
  <c r="C25" i="3" s="1"/>
  <c r="F6" i="3"/>
  <c r="D25" i="3" s="1"/>
  <c r="D7" i="3"/>
  <c r="B26" i="3" s="1"/>
  <c r="E7" i="3"/>
  <c r="C26" i="3" s="1"/>
  <c r="F7" i="3"/>
  <c r="D26" i="3" s="1"/>
  <c r="D8" i="3"/>
  <c r="B27" i="3" s="1"/>
  <c r="E8" i="3"/>
  <c r="C27" i="3" s="1"/>
  <c r="F8" i="3"/>
  <c r="D27" i="3" s="1"/>
  <c r="D9" i="3"/>
  <c r="B28" i="3" s="1"/>
  <c r="E9" i="3"/>
  <c r="C28" i="3" s="1"/>
  <c r="F9" i="3"/>
  <c r="D28" i="3" s="1"/>
  <c r="D10" i="3"/>
  <c r="B29" i="3" s="1"/>
  <c r="E10" i="3"/>
  <c r="C29" i="3" s="1"/>
  <c r="F10" i="3"/>
  <c r="D29" i="3" s="1"/>
  <c r="D11" i="3"/>
  <c r="B30" i="3" s="1"/>
  <c r="E11" i="3"/>
  <c r="C30" i="3" s="1"/>
  <c r="D30" i="3"/>
  <c r="E25" i="7"/>
  <c r="E18" i="7" l="1"/>
  <c r="C17" i="7" s="1"/>
  <c r="D18" i="3"/>
  <c r="D17" i="3"/>
  <c r="D16" i="3"/>
  <c r="F16" i="7"/>
  <c r="T19" i="7" l="1"/>
  <c r="P19" i="7"/>
</calcChain>
</file>

<file path=xl/sharedStrings.xml><?xml version="1.0" encoding="utf-8"?>
<sst xmlns="http://schemas.openxmlformats.org/spreadsheetml/2006/main" count="363" uniqueCount="291">
  <si>
    <t>姓名</t>
    <phoneticPr fontId="1" type="noConversion"/>
  </si>
  <si>
    <t>泛型</t>
    <phoneticPr fontId="1" type="noConversion"/>
  </si>
  <si>
    <t>属性点</t>
    <phoneticPr fontId="1" type="noConversion"/>
  </si>
  <si>
    <t>年龄组</t>
    <phoneticPr fontId="1" type="noConversion"/>
  </si>
  <si>
    <t>年龄</t>
    <phoneticPr fontId="1" type="noConversion"/>
  </si>
  <si>
    <t>学者</t>
  </si>
  <si>
    <t>医生</t>
  </si>
  <si>
    <t>猎人</t>
  </si>
  <si>
    <t>神秘学家</t>
  </si>
  <si>
    <t>牧师</t>
  </si>
  <si>
    <t>私家侦探</t>
  </si>
  <si>
    <t>仆人</t>
  </si>
  <si>
    <t>流浪者</t>
  </si>
  <si>
    <t>作家</t>
  </si>
  <si>
    <t>玩家</t>
    <phoneticPr fontId="1" type="noConversion"/>
  </si>
  <si>
    <t>动机</t>
    <phoneticPr fontId="1" type="noConversion"/>
  </si>
  <si>
    <t>创伤</t>
    <phoneticPr fontId="1" type="noConversion"/>
  </si>
  <si>
    <t>黑暗秘密</t>
    <phoneticPr fontId="1" type="noConversion"/>
  </si>
  <si>
    <t>关系</t>
    <phoneticPr fontId="1" type="noConversion"/>
  </si>
  <si>
    <t>PC1</t>
    <phoneticPr fontId="1" type="noConversion"/>
  </si>
  <si>
    <t>资产</t>
    <phoneticPr fontId="1" type="noConversion"/>
  </si>
  <si>
    <t>+</t>
    <phoneticPr fontId="1" type="noConversion"/>
  </si>
  <si>
    <t>=</t>
    <phoneticPr fontId="1" type="noConversion"/>
  </si>
  <si>
    <t>资源</t>
    <phoneticPr fontId="1" type="noConversion"/>
  </si>
  <si>
    <t>资源上限</t>
    <phoneticPr fontId="1" type="noConversion"/>
  </si>
  <si>
    <t>资源下限</t>
    <phoneticPr fontId="1" type="noConversion"/>
  </si>
  <si>
    <t>PC2</t>
    <phoneticPr fontId="1" type="noConversion"/>
  </si>
  <si>
    <t>PC3</t>
    <phoneticPr fontId="1" type="noConversion"/>
  </si>
  <si>
    <t>PC4</t>
    <phoneticPr fontId="1" type="noConversion"/>
  </si>
  <si>
    <t>技能点</t>
    <phoneticPr fontId="1" type="noConversion"/>
  </si>
  <si>
    <t>老年(51+)</t>
  </si>
  <si>
    <t>中年(26-50)</t>
  </si>
  <si>
    <t>青年(17-25)</t>
  </si>
  <si>
    <t>属性辅助</t>
    <phoneticPr fontId="1" type="noConversion"/>
  </si>
  <si>
    <t>技能辅助</t>
    <phoneticPr fontId="1" type="noConversion"/>
  </si>
  <si>
    <t>体能</t>
    <phoneticPr fontId="1" type="noConversion"/>
  </si>
  <si>
    <t>蛮力</t>
    <phoneticPr fontId="1" type="noConversion"/>
  </si>
  <si>
    <t>敏捷</t>
    <phoneticPr fontId="1" type="noConversion"/>
  </si>
  <si>
    <t>经验</t>
    <phoneticPr fontId="1" type="noConversion"/>
  </si>
  <si>
    <t>优势</t>
    <phoneticPr fontId="1" type="noConversion"/>
  </si>
  <si>
    <t>状态</t>
    <phoneticPr fontId="1" type="noConversion"/>
  </si>
  <si>
    <t>精准</t>
    <phoneticPr fontId="1" type="noConversion"/>
  </si>
  <si>
    <t>医学</t>
    <phoneticPr fontId="1" type="noConversion"/>
  </si>
  <si>
    <t>逻辑</t>
    <phoneticPr fontId="1" type="noConversion"/>
  </si>
  <si>
    <t>调查</t>
    <phoneticPr fontId="1" type="noConversion"/>
  </si>
  <si>
    <t>学习</t>
    <phoneticPr fontId="1" type="noConversion"/>
  </si>
  <si>
    <t>警觉</t>
    <phoneticPr fontId="1" type="noConversion"/>
  </si>
  <si>
    <t>共情</t>
    <phoneticPr fontId="1" type="noConversion"/>
  </si>
  <si>
    <t>启迪 </t>
    <phoneticPr fontId="1" type="noConversion"/>
  </si>
  <si>
    <t>操控人心 </t>
  </si>
  <si>
    <t>观察</t>
    <phoneticPr fontId="1" type="noConversion"/>
  </si>
  <si>
    <t>远程战斗</t>
    <phoneticPr fontId="1" type="noConversion"/>
  </si>
  <si>
    <t>纪念物</t>
    <phoneticPr fontId="1" type="noConversion"/>
  </si>
  <si>
    <t>洞察＆缺陷</t>
  </si>
  <si>
    <t>天赋</t>
    <phoneticPr fontId="1" type="noConversion"/>
  </si>
  <si>
    <t>物理</t>
    <phoneticPr fontId="1" type="noConversion"/>
  </si>
  <si>
    <t>精神</t>
    <phoneticPr fontId="1" type="noConversion"/>
  </si>
  <si>
    <t>○</t>
  </si>
  <si>
    <t>装备</t>
    <phoneticPr fontId="1" type="noConversion"/>
  </si>
  <si>
    <t>描述</t>
    <phoneticPr fontId="1" type="noConversion"/>
  </si>
  <si>
    <t>书虫</t>
    <phoneticPr fontId="1" type="noConversion"/>
  </si>
  <si>
    <t>军医</t>
    <phoneticPr fontId="1" type="noConversion"/>
  </si>
  <si>
    <t>神射手</t>
    <phoneticPr fontId="1" type="noConversion"/>
  </si>
  <si>
    <t>灵媒</t>
    <phoneticPr fontId="1" type="noConversion"/>
  </si>
  <si>
    <t>绅士</t>
    <phoneticPr fontId="1" type="noConversion"/>
  </si>
  <si>
    <t>赦免</t>
    <phoneticPr fontId="1" type="noConversion"/>
  </si>
  <si>
    <t>鹰眼</t>
    <phoneticPr fontId="1" type="noConversion"/>
  </si>
  <si>
    <t>专注</t>
    <phoneticPr fontId="1" type="noConversion"/>
  </si>
  <si>
    <t>忠诚</t>
    <phoneticPr fontId="1" type="noConversion"/>
  </si>
  <si>
    <t>流浪者戏法</t>
    <phoneticPr fontId="1" type="noConversion"/>
  </si>
  <si>
    <t>自动书写</t>
    <phoneticPr fontId="1" type="noConversion"/>
  </si>
  <si>
    <t>记者</t>
    <phoneticPr fontId="1" type="noConversion"/>
  </si>
  <si>
    <t>勇敢</t>
    <phoneticPr fontId="1" type="noConversion"/>
  </si>
  <si>
    <t>宠物</t>
    <phoneticPr fontId="1" type="noConversion"/>
  </si>
  <si>
    <t>拳击手</t>
    <phoneticPr fontId="1" type="noConversion"/>
  </si>
  <si>
    <t>第六感</t>
    <phoneticPr fontId="1" type="noConversion"/>
  </si>
  <si>
    <t>天赋1</t>
    <phoneticPr fontId="1" type="noConversion"/>
  </si>
  <si>
    <t>天赋2</t>
    <phoneticPr fontId="1" type="noConversion"/>
  </si>
  <si>
    <t>天赋3</t>
    <phoneticPr fontId="1" type="noConversion"/>
  </si>
  <si>
    <t>职业</t>
    <phoneticPr fontId="1" type="noConversion"/>
  </si>
  <si>
    <t>主要技能</t>
    <phoneticPr fontId="1" type="noConversion"/>
  </si>
  <si>
    <t>主要属性</t>
    <phoneticPr fontId="1" type="noConversion"/>
  </si>
  <si>
    <t>值</t>
    <phoneticPr fontId="1" type="noConversion"/>
  </si>
  <si>
    <t>生活标准</t>
    <phoneticPr fontId="1" type="noConversion"/>
  </si>
  <si>
    <t>你完全依靠他人才能活下来。每天都要为了食物挣扎，属于你的东西很少，甚至没有。你可能会染上疾病，饥饿，或者靠毒品和酒精获得慰藉。</t>
    <phoneticPr fontId="1" type="noConversion"/>
  </si>
  <si>
    <t>贫穷</t>
    <phoneticPr fontId="1" type="noConversion"/>
  </si>
  <si>
    <t>赤贫</t>
    <phoneticPr fontId="1" type="noConversion"/>
  </si>
  <si>
    <t>挣扎</t>
    <phoneticPr fontId="1" type="noConversion"/>
  </si>
  <si>
    <t>经济稳定</t>
    <phoneticPr fontId="1" type="noConversion"/>
  </si>
  <si>
    <t>中产</t>
    <phoneticPr fontId="1" type="noConversion"/>
  </si>
  <si>
    <t>殷实</t>
    <phoneticPr fontId="1" type="noConversion"/>
  </si>
  <si>
    <t>富有</t>
    <phoneticPr fontId="1" type="noConversion"/>
  </si>
  <si>
    <t>富得流油</t>
    <phoneticPr fontId="1" type="noConversion"/>
  </si>
  <si>
    <t>你的生活十分简单。大部分时候桌上都有食物，虽然很少。如果你有孩子，他们不得不住在肮脏的环境里。你或许有几件换洗衣物和一点财产。失去收入来源对你和你的家庭将是灾难性的。</t>
    <phoneticPr fontId="1" type="noConversion"/>
  </si>
  <si>
    <t>你有一个朴素的家和固定的收入。你没有储蓄，但你能够为特殊场合给家人置办衣物，你的孩子能接受一定程度的教育——至少有几年。</t>
    <phoneticPr fontId="1" type="noConversion"/>
  </si>
  <si>
    <t>你有自己的家，有一份提供稳定收入的工作。大部分和你一样的人存了一些钱。你偶尔会用甜食、旅行、漂亮的物件犒劳自己。紧急情况下有人愿意借你钱。</t>
    <phoneticPr fontId="1" type="noConversion"/>
  </si>
  <si>
    <t>你有一个家和自己的事业。你或许有一个或多个雇员，你知道如何为未来投资。你有储蓄，能借贷。你和你的家人生活得很好。</t>
    <phoneticPr fontId="1" type="noConversion"/>
  </si>
  <si>
    <t>你有一个大房子或公寓。你可能有多种收入来源以及几个雇员。你不认为金钱是稀缺资源，而是用来增加资本和影响力的游戏。你的同伴都经济优渥，你几乎不和穷人有来往。你的家人可以去度假，你能负担起所有最新的发明创造。</t>
    <phoneticPr fontId="1" type="noConversion"/>
  </si>
  <si>
    <t>你继承了大笔钱财和房产。你或许拥有多处财产，雇佣了很多佣人，有许多收入来源。几乎没有你负担不起的东西。你和城里与国内的精英联系紧密，与高级官员、政客还有贵族关系良好。你唯一能看见穷人的机会是透过马车窗户。</t>
    <phoneticPr fontId="1" type="noConversion"/>
  </si>
  <si>
    <t>你是这个国家里最富有的人之一，与国家的统治者有直接联系。你拥有一处或多处城堡或庄园。任何开销对你来说都不算大。你能随意享用各种奢侈品，不用担心开销。</t>
    <phoneticPr fontId="1" type="noConversion"/>
  </si>
  <si>
    <t>隐秘行动</t>
    <phoneticPr fontId="1" type="noConversion"/>
  </si>
  <si>
    <t>启迪</t>
    <phoneticPr fontId="1" type="noConversion"/>
  </si>
  <si>
    <t>加成</t>
    <phoneticPr fontId="1" type="noConversion"/>
  </si>
  <si>
    <t>护甲</t>
    <phoneticPr fontId="1" type="noConversion"/>
  </si>
  <si>
    <t>武器</t>
    <phoneticPr fontId="1" type="noConversion"/>
  </si>
  <si>
    <t>范围</t>
    <phoneticPr fontId="1" type="noConversion"/>
  </si>
  <si>
    <t>伤害</t>
    <phoneticPr fontId="1" type="noConversion"/>
  </si>
  <si>
    <t>防护</t>
    <phoneticPr fontId="1" type="noConversion"/>
  </si>
  <si>
    <t>1、你参与了本次游戏吗？（角色总是至少能获得这一点经验）</t>
    <phoneticPr fontId="1" type="noConversion"/>
  </si>
  <si>
    <t>2、你是否和Vaesen对峙过？</t>
    <phoneticPr fontId="1" type="noConversion"/>
  </si>
  <si>
    <t>3、你是否辨别了一种以前不了解的Vaesen？</t>
    <phoneticPr fontId="1" type="noConversion"/>
  </si>
  <si>
    <t>4、你的黑暗秘密是否影响了你？</t>
    <phoneticPr fontId="1" type="noConversion"/>
  </si>
  <si>
    <t>5、你是否为了保护他人而犯险？</t>
    <phoneticPr fontId="1" type="noConversion"/>
  </si>
  <si>
    <t>6、你是否学会了什么（是什么呢）？</t>
    <phoneticPr fontId="1" type="noConversion"/>
  </si>
  <si>
    <t>7、你是否开发了自己的大本营？</t>
    <phoneticPr fontId="1" type="noConversion"/>
  </si>
  <si>
    <t>8、你是否做出了非凡的行动？</t>
    <phoneticPr fontId="1" type="noConversion"/>
  </si>
  <si>
    <t>技能</t>
    <phoneticPr fontId="1" type="noConversion"/>
  </si>
  <si>
    <t>序号</t>
    <phoneticPr fontId="1" type="noConversion"/>
  </si>
  <si>
    <t>-</t>
    <phoneticPr fontId="1" type="noConversion"/>
  </si>
  <si>
    <t>水晶球、牡鹿角粉末或打火匣、匕首或锅</t>
    <phoneticPr fontId="1" type="noConversion"/>
  </si>
  <si>
    <t>书本收藏或地图集，书写用具、液体或计算尺</t>
    <phoneticPr fontId="1" type="noConversion"/>
  </si>
  <si>
    <t>书写用具和纸张、照相机或剧院望远镜、宠物狗或图书收藏</t>
    <phoneticPr fontId="1" type="noConversion"/>
  </si>
  <si>
    <t>来复枪、猎刀或猎犬、捕猎陷阱或捕猎装备</t>
    <phoneticPr fontId="1" type="noConversion"/>
  </si>
  <si>
    <t>来复枪或手枪、指南针或刺刀、地图集或军刀</t>
    <phoneticPr fontId="1" type="noConversion"/>
  </si>
  <si>
    <t>乐器或上好红酒、书写用具、圣水或旧圣经</t>
    <phoneticPr fontId="1" type="noConversion"/>
  </si>
  <si>
    <t>放大镜或撬锁器、左轮手枪、指虎或双筒望远镜</t>
    <phoneticPr fontId="1" type="noConversion"/>
  </si>
  <si>
    <t>左轮手枪、防风灯或化妆品、便携厨具或普通绷带</t>
    <phoneticPr fontId="1" type="noConversion"/>
  </si>
  <si>
    <t>拐杖、小刀或撬棍、液体或宠物狗</t>
    <phoneticPr fontId="1" type="noConversion"/>
  </si>
  <si>
    <t>操控人心</t>
    <phoneticPr fontId="1" type="noConversion"/>
  </si>
  <si>
    <t>属性&amp;技能</t>
    <phoneticPr fontId="1" type="noConversion"/>
  </si>
  <si>
    <t>人物背景</t>
    <phoneticPr fontId="1" type="noConversion"/>
  </si>
  <si>
    <t>笔记</t>
    <phoneticPr fontId="1" type="noConversion"/>
  </si>
  <si>
    <t>泛型天赋</t>
    <phoneticPr fontId="1" type="noConversion"/>
  </si>
  <si>
    <t>崩溃</t>
    <phoneticPr fontId="1" type="noConversion"/>
  </si>
  <si>
    <t>力竭</t>
    <phoneticPr fontId="1" type="noConversion"/>
  </si>
  <si>
    <t>伤痕累累</t>
    <phoneticPr fontId="1" type="noConversion"/>
  </si>
  <si>
    <t>创伤</t>
    <phoneticPr fontId="1" type="noConversion"/>
  </si>
  <si>
    <t>愤怒</t>
    <phoneticPr fontId="1" type="noConversion"/>
  </si>
  <si>
    <t>恐惧</t>
    <phoneticPr fontId="1" type="noConversion"/>
  </si>
  <si>
    <t>绝望</t>
    <phoneticPr fontId="1" type="noConversion"/>
  </si>
  <si>
    <t>近身战斗</t>
    <phoneticPr fontId="1" type="noConversion"/>
  </si>
  <si>
    <t>力量</t>
    <phoneticPr fontId="1" type="noConversion"/>
  </si>
  <si>
    <t>风干的红玫瑰</t>
    <phoneticPr fontId="1" type="noConversion"/>
  </si>
  <si>
    <t>亲近之人的照片</t>
    <phoneticPr fontId="1" type="noConversion"/>
  </si>
  <si>
    <t>一枚有秘匣的印章戒指</t>
    <phoneticPr fontId="1" type="noConversion"/>
  </si>
  <si>
    <t>你父亲的手杖</t>
    <phoneticPr fontId="1" type="noConversion"/>
  </si>
  <si>
    <t>有秘密隔间的帽子</t>
    <phoneticPr fontId="1" type="noConversion"/>
  </si>
  <si>
    <t>一本以外语写成的书</t>
    <phoneticPr fontId="1" type="noConversion"/>
  </si>
  <si>
    <t>带刻字的扁酒壶</t>
    <phoneticPr fontId="1" type="noConversion"/>
  </si>
  <si>
    <t>一封旧情书</t>
    <phoneticPr fontId="1" type="noConversion"/>
  </si>
  <si>
    <t>一只肮脏的猫</t>
    <phoneticPr fontId="1" type="noConversion"/>
  </si>
  <si>
    <t>一只猴子的头骨</t>
    <phoneticPr fontId="1" type="noConversion"/>
  </si>
  <si>
    <t>血迹斑斑的本票</t>
    <phoneticPr fontId="1" type="noConversion"/>
  </si>
  <si>
    <t>母亲戴过的金首饰</t>
    <phoneticPr fontId="1" type="noConversion"/>
  </si>
  <si>
    <t>带链子的银色十字架</t>
    <phoneticPr fontId="1" type="noConversion"/>
  </si>
  <si>
    <t>家族代代相传的精美小提琴</t>
    <phoneticPr fontId="1" type="noConversion"/>
  </si>
  <si>
    <t>日记本（你的或者别人的）</t>
    <phoneticPr fontId="1" type="noConversion"/>
  </si>
  <si>
    <t>日期对你而言非常重要的报纸</t>
    <phoneticPr fontId="1" type="noConversion"/>
  </si>
  <si>
    <t>破破烂烂的玩偶娃娃</t>
    <phoneticPr fontId="1" type="noConversion"/>
  </si>
  <si>
    <t>信鸽</t>
    <phoneticPr fontId="1" type="noConversion"/>
  </si>
  <si>
    <t>一本常常翻阅，写有致辞的小说</t>
    <phoneticPr fontId="1" type="noConversion"/>
  </si>
  <si>
    <t>家族的墓地规划</t>
    <phoneticPr fontId="1" type="noConversion"/>
  </si>
  <si>
    <t>页边空白区有注释的地图</t>
    <phoneticPr fontId="1" type="noConversion"/>
  </si>
  <si>
    <t>玻璃罐中的奇异动物</t>
    <phoneticPr fontId="1" type="noConversion"/>
  </si>
  <si>
    <t>你童年时候的八音盒</t>
    <phoneticPr fontId="1" type="noConversion"/>
  </si>
  <si>
    <t>日长石（切割好的矿物）</t>
    <phoneticPr fontId="1" type="noConversion"/>
  </si>
  <si>
    <t>会让你想起某人的小瓶香水</t>
    <phoneticPr fontId="1" type="noConversion"/>
  </si>
  <si>
    <t>家族流传的赞美诗篇</t>
    <phoneticPr fontId="1" type="noConversion"/>
  </si>
  <si>
    <t>有照片嵌在里面的怀表</t>
    <phoneticPr fontId="1" type="noConversion"/>
  </si>
  <si>
    <t>一份未签字的遗嘱</t>
    <phoneticPr fontId="1" type="noConversion"/>
  </si>
  <si>
    <t>异国带来的黄金盒子</t>
    <phoneticPr fontId="1" type="noConversion"/>
  </si>
  <si>
    <t>一位被遗忘的大师留下的乐谱</t>
    <phoneticPr fontId="1" type="noConversion"/>
  </si>
  <si>
    <t>安眠药粉盒</t>
    <phoneticPr fontId="1" type="noConversion"/>
  </si>
  <si>
    <t>写有精美花体字的烟斗</t>
    <phoneticPr fontId="1" type="noConversion"/>
  </si>
  <si>
    <t>兔子脚或是其他幸运护符</t>
    <phoneticPr fontId="1" type="noConversion"/>
  </si>
  <si>
    <t>有注射器的针盒</t>
    <phoneticPr fontId="1" type="noConversion"/>
  </si>
  <si>
    <t>用骨头制成的旧骰子</t>
    <phoneticPr fontId="1" type="noConversion"/>
  </si>
  <si>
    <t>家族流传下来的手稿</t>
    <phoneticPr fontId="1" type="noConversion"/>
  </si>
  <si>
    <t>在学习检定中无视状态的影响。</t>
    <phoneticPr fontId="1" type="noConversion"/>
  </si>
  <si>
    <t>医学检定时无视状态影响。</t>
    <phoneticPr fontId="1" type="noConversion"/>
  </si>
  <si>
    <t>通过野外的草药，你可以在没有医疗用品的情况下使用医学检定。</t>
    <phoneticPr fontId="1" type="noConversion"/>
  </si>
  <si>
    <t>当你使用魔术手法影响他人时，你可以用隐秘行动检定替代操控人心检定。</t>
    <phoneticPr fontId="1" type="noConversion"/>
  </si>
  <si>
    <t>你对战斗司空见惯，进行先攻检定时，你可以抽取两张卡并任选一张。</t>
    <phoneticPr fontId="1" type="noConversion"/>
  </si>
  <si>
    <t>魔术手法</t>
    <phoneticPr fontId="1" type="noConversion"/>
  </si>
  <si>
    <t>学富五车</t>
    <phoneticPr fontId="1" type="noConversion"/>
  </si>
  <si>
    <t>知识是可靠的</t>
    <phoneticPr fontId="1" type="noConversion"/>
  </si>
  <si>
    <t>主任医师</t>
    <phoneticPr fontId="1" type="noConversion"/>
  </si>
  <si>
    <t>应急医学</t>
    <phoneticPr fontId="1" type="noConversion"/>
  </si>
  <si>
    <t>寻血犬</t>
    <phoneticPr fontId="1" type="noConversion"/>
  </si>
  <si>
    <t>草药专家</t>
    <phoneticPr fontId="1" type="noConversion"/>
  </si>
  <si>
    <t>恐惧来袭</t>
    <phoneticPr fontId="1" type="noConversion"/>
  </si>
  <si>
    <t>久经沙场</t>
    <phoneticPr fontId="1" type="noConversion"/>
  </si>
  <si>
    <t>战术家</t>
    <phoneticPr fontId="1" type="noConversion"/>
  </si>
  <si>
    <t>玩家角色向你忏悔，袒露自己的行为时可以治愈三个状态，而非两个。</t>
    <phoneticPr fontId="1" type="noConversion"/>
  </si>
  <si>
    <t>祝福</t>
    <phoneticPr fontId="1" type="noConversion"/>
  </si>
  <si>
    <t>忏悔者</t>
    <phoneticPr fontId="1" type="noConversion"/>
  </si>
  <si>
    <t>在保密的谈话中，你可以使用观察检定替代操纵人心检定。</t>
    <phoneticPr fontId="1" type="noConversion"/>
  </si>
  <si>
    <t>基础推演法</t>
    <phoneticPr fontId="1" type="noConversion"/>
  </si>
  <si>
    <t>进行调查检定时无视状态带来的惩罚。</t>
    <phoneticPr fontId="1" type="noConversion"/>
  </si>
  <si>
    <t>强硬如钉</t>
    <phoneticPr fontId="1" type="noConversion"/>
  </si>
  <si>
    <t>坚韧</t>
    <phoneticPr fontId="1" type="noConversion"/>
  </si>
  <si>
    <t>每次游戏一次，你可以在任何一次检定中无视状态带来的惩罚。</t>
    <phoneticPr fontId="1" type="noConversion"/>
  </si>
  <si>
    <t>疑心</t>
    <phoneticPr fontId="1" type="noConversion"/>
  </si>
  <si>
    <t>云游</t>
    <phoneticPr fontId="1" type="noConversion"/>
  </si>
  <si>
    <t>进行警觉检定时无视状态的影响。</t>
    <phoneticPr fontId="1" type="noConversion"/>
  </si>
  <si>
    <t>墨客</t>
    <phoneticPr fontId="1" type="noConversion"/>
  </si>
  <si>
    <t>当你通过吸引或是哄骗他人以获得信息时，你可以使用启迪检定替代操控人心检定。</t>
    <phoneticPr fontId="1" type="noConversion"/>
  </si>
  <si>
    <t>进行启迪检定时无视状态的影响。</t>
    <phoneticPr fontId="1" type="noConversion"/>
  </si>
  <si>
    <t>战场经历</t>
    <phoneticPr fontId="1" type="noConversion"/>
  </si>
  <si>
    <t>近战训练</t>
    <phoneticPr fontId="1" type="noConversion"/>
  </si>
  <si>
    <t>联络人</t>
    <phoneticPr fontId="1" type="noConversion"/>
  </si>
  <si>
    <t>怯懦</t>
    <phoneticPr fontId="1" type="noConversion"/>
  </si>
  <si>
    <t>骗术专精</t>
    <phoneticPr fontId="1" type="noConversion"/>
  </si>
  <si>
    <t>献身</t>
    <phoneticPr fontId="1" type="noConversion"/>
  </si>
  <si>
    <t>防御专精</t>
    <phoneticPr fontId="1" type="noConversion"/>
  </si>
  <si>
    <t>进行恐惧检定时，+1。</t>
    <phoneticPr fontId="1" type="noConversion"/>
  </si>
  <si>
    <t>在每场游戏中，你可以确定自己已经认识了某个NPC，并且你们之间的关系是积极的。</t>
    <phoneticPr fontId="1" type="noConversion"/>
  </si>
  <si>
    <t>每场游戏中，都可以使一个检定无视精神状态的影响。</t>
    <phoneticPr fontId="1" type="noConversion"/>
  </si>
  <si>
    <t>每一轮你都有一个额外动作，这一动作只能用于闪避或格挡。</t>
    <phoneticPr fontId="1" type="noConversion"/>
  </si>
  <si>
    <t>你被教育必须在社交场合控制好自己的行为和情绪，哪怕是在压力环境下也必须如此。在进行操控人心检定时，无视精神状态带来的惩罚</t>
    <phoneticPr fontId="1" type="noConversion"/>
  </si>
  <si>
    <t>从书籍中或图书馆中寻找线索时，学习检定+2。</t>
  </si>
  <si>
    <t>你可以学习检定来构建游戏中地点和现象的真相。你可以知道某个地点以玻璃工人而闻名，或是有犯罪分子在该地区活动。由GM可以判断什么合适，什么是你可以知道的。你不应创造和“自在之物”有关的内容。</t>
  </si>
  <si>
    <t>在面对尸体或是残破的人体时，恐惧检定+2。</t>
  </si>
  <si>
    <t>当使用医学检定治疗其他玩家时，你的成功可以治疗4个症状，而非3个。该天赋同样适用于额外成功。</t>
  </si>
  <si>
    <t>追踪猎物时警觉检定+2。</t>
  </si>
  <si>
    <t>当你成功埋伏并首次攻击目标时，你的远程战斗检定+2。</t>
  </si>
  <si>
    <t>你可以通过观察检定来进行降灵仪式，并借此联络死者并预测他人的未来。额外的成功会提供更多信息，延长联系时间，或者让灵体直接现身。若检定失败，你会得到不准确的信息，遭受攻击，或承受某种状态。</t>
  </si>
  <si>
    <t>你可以使用1级的恐惧检定（见第68页）来实现恐惧打击。这是一个缓慢动作，且对“自在之物”无效。在你的区域里选择一个受害者，且目标NPC必须通过逻辑检定或共情检定。他可以获得和范围内友善单位个数相同的奖励骰。</t>
  </si>
  <si>
    <t>当你在远程战斗检定中获得额外成功时，除了通常的可选效果外你还有一个额外选择，向一个友善单位下达指令。这必须消耗一个成功数。如果对方遵循你的指令，则可以在下一个检定中获得+2（可以多次给不同的人下达指令）。</t>
  </si>
  <si>
    <t>每次游戏你可以祝福一个物品或另一个玩家。玩家角色或使用该物品的人将获得祝福优势，并在他们所选择的检定中+2。这一优势会在使用或谜题结束后失效。每个谜题你只能祝福一个角色或一件物品。</t>
  </si>
  <si>
    <t>当你试图进行远程的观测时，你的警觉检定+2。</t>
  </si>
  <si>
    <t>每次游戏一次，你可以要求GM解释线索是如何串联的。</t>
  </si>
  <si>
    <t>当你发誓保护的人在场时，你的恐惧检定+2。</t>
  </si>
  <si>
    <t>徒手战斗时，力量检定+2。</t>
  </si>
  <si>
    <t>当你试图在富人面前隐藏自己或某个物品时，隐秘行动检定+2。</t>
  </si>
  <si>
    <t>每次谜题你都可以进行一个操控人心检定，以创造一个位于该地点的NPC，或是你曾经见过的人。GM决定在上次见面以来他的变化，以及他现在对你的看法。如果检定失败，他要么对你怀有敌意，要么就是他反过来非常需要你的帮助</t>
  </si>
  <si>
    <t>你可以通过启迪检定引导灵体进行自动书写以获得线索。GM会提供或多或少的模糊线索，对未来的预测，或对敌人想法和经验的瞬间洞察。额外的成功会揭示更多的线索。如果检定失败，GM会决定你是否要承受某种状态，被附身，或是一种持续1D6小时的人格改变（具体由你决定是何种改变）。你可以在每次游戏中使用一次。</t>
  </si>
  <si>
    <t>治疗肉体重创时，医学检定+2。</t>
  </si>
  <si>
    <t>进行格挡时，力量检定或近身战斗检定+2。</t>
  </si>
  <si>
    <t>当你在战斗中受伤时，你可以通过一个隐秘行动检定来使其他玩家角色代替你承受伤害。这并不占用动作。如果检定失败，你必须承受1点额外伤害。每场战斗遭遇只能使用一次。</t>
  </si>
  <si>
    <t>当进行谎言或者欺骗时，操控人心检定+2。</t>
  </si>
  <si>
    <t>双手武器专精</t>
    <phoneticPr fontId="1" type="noConversion"/>
  </si>
  <si>
    <t>在近身战斗中使用双武器时，你可以使用额外成功攻击该区域的另一个敌人。如果你使用额外成果来增加伤害，你可以自行选择哪一次攻击获得额外伤害。</t>
    <phoneticPr fontId="1" type="noConversion"/>
  </si>
  <si>
    <t>炸药专家</t>
    <phoneticPr fontId="1" type="noConversion"/>
  </si>
  <si>
    <t>同理心</t>
    <phoneticPr fontId="1" type="noConversion"/>
  </si>
  <si>
    <t>逃脱大师</t>
    <phoneticPr fontId="1" type="noConversion"/>
  </si>
  <si>
    <t>名望</t>
    <phoneticPr fontId="1" type="noConversion"/>
  </si>
  <si>
    <t>疾行</t>
    <phoneticPr fontId="1" type="noConversion"/>
  </si>
  <si>
    <t>神圣象征</t>
    <phoneticPr fontId="1" type="noConversion"/>
  </si>
  <si>
    <t>风驰电掣</t>
    <phoneticPr fontId="1" type="noConversion"/>
  </si>
  <si>
    <t>命大</t>
    <phoneticPr fontId="1" type="noConversion"/>
  </si>
  <si>
    <t>人多胆壮</t>
    <phoneticPr fontId="1" type="noConversion"/>
  </si>
  <si>
    <t>短跑选手</t>
    <phoneticPr fontId="1" type="noConversion"/>
  </si>
  <si>
    <t>主的牧羊人</t>
    <phoneticPr fontId="1" type="noConversion"/>
  </si>
  <si>
    <t>当使用爆炸物进行战斗时，远程战斗检定 +2。</t>
    <phoneticPr fontId="1" type="noConversion"/>
  </si>
  <si>
    <t>进行观察检定时，忽略状态带来的影响。</t>
    <phoneticPr fontId="1" type="noConversion"/>
  </si>
  <si>
    <t>在你进行敏捷检定进行逃离时，无视状态的影响。</t>
    <phoneticPr fontId="1" type="noConversion"/>
  </si>
  <si>
    <t>当你试图影响一个听说过你的人时，操控人心检定 +2。</t>
    <phoneticPr fontId="1" type="noConversion"/>
  </si>
  <si>
    <t>在战斗中，你在自身区域内移动不会占用动作。</t>
    <phoneticPr fontId="1" type="noConversion"/>
  </si>
  <si>
    <t>你拥有一个宗教物品，它允许你使用启迪检定攻击“自在之物”，并造成 1 点伤害。</t>
    <phoneticPr fontId="1" type="noConversion"/>
  </si>
  <si>
    <t>你拔出武器的行为不占用动作。</t>
    <phoneticPr fontId="1" type="noConversion"/>
  </si>
  <si>
    <t>当你投重创时，你可以自行决定哪个骰点结果代表十位，哪个骰点结果代表个位。</t>
    <phoneticPr fontId="1" type="noConversion"/>
  </si>
  <si>
    <t>你拥有一只宠物，在它明显能派上用场的检定中，你可以获得 +1。每场游戏只能使用一次。</t>
    <phoneticPr fontId="1" type="noConversion"/>
  </si>
  <si>
    <t>徒手进行战斗时，伤害 +1。</t>
    <phoneticPr fontId="1" type="noConversion"/>
  </si>
  <si>
    <t>当你至少与 2 个玩家角色一起时，恐惧检定 +2。在战斗中，你们必须置身于同一区域该天赋才能生效。</t>
    <phoneticPr fontId="1" type="noConversion"/>
  </si>
  <si>
    <t>进行调查检定时，你可以消费一个额外成功，以了解该区域是否存在“自在之物”、获得“自在之物”种类的粗略印象，以及发现此处是否有人使用了魔法。</t>
    <phoneticPr fontId="1" type="noConversion"/>
  </si>
  <si>
    <t>当你试图赶超或追上某人时，敏捷检定 +2。</t>
    <phoneticPr fontId="1" type="noConversion"/>
  </si>
  <si>
    <t>当你治疗精神重创时，启迪检定 +2。</t>
    <phoneticPr fontId="1" type="noConversion"/>
  </si>
  <si>
    <t>资源增加 1 点（本天赋可重复购买）。</t>
    <phoneticPr fontId="1" type="noConversion"/>
  </si>
  <si>
    <t>说明</t>
    <phoneticPr fontId="1" type="noConversion"/>
  </si>
  <si>
    <t>军官</t>
    <phoneticPr fontId="1" type="noConversion"/>
  </si>
  <si>
    <t>V1.0</t>
    <phoneticPr fontId="1" type="noConversion"/>
  </si>
  <si>
    <t>Vaesen自动卡 by拂晓鵺啼</t>
    <phoneticPr fontId="1" type="noConversion"/>
  </si>
  <si>
    <t>初版</t>
    <phoneticPr fontId="1" type="noConversion"/>
  </si>
  <si>
    <t>v1.1</t>
    <phoneticPr fontId="1" type="noConversion"/>
  </si>
  <si>
    <t>解锁插入图片</t>
    <phoneticPr fontId="1" type="noConversion"/>
  </si>
  <si>
    <t>v1.2</t>
    <phoneticPr fontId="1" type="noConversion"/>
  </si>
  <si>
    <t>修正T19的公式</t>
    <phoneticPr fontId="1" type="noConversion"/>
  </si>
  <si>
    <t>装有医疗用品的医生背包、烈酒或好酒、瘦弱的马或强效毒药</t>
    <phoneticPr fontId="1" type="noConversion"/>
  </si>
  <si>
    <t>v1.3</t>
    <phoneticPr fontId="1" type="noConversion"/>
  </si>
  <si>
    <t>修正医生的装备提示</t>
    <phoneticPr fontId="1" type="noConversion"/>
  </si>
  <si>
    <t>吸血鬼猎人</t>
    <phoneticPr fontId="1" type="noConversion"/>
  </si>
  <si>
    <t>吸血者恨意</t>
    <phoneticPr fontId="1" type="noConversion"/>
  </si>
  <si>
    <t>穿刺者</t>
    <phoneticPr fontId="1" type="noConversion"/>
  </si>
  <si>
    <t>猎杀时刻</t>
    <phoneticPr fontId="1" type="noConversion"/>
  </si>
  <si>
    <t>在面对各类吸血鬼及其子嗣（衍体）时的恐惧检定中获得+2。</t>
    <phoneticPr fontId="1" type="noConversion"/>
  </si>
  <si>
    <t>你得知一个自在之物的藏身地点时，恢复一个状态。</t>
    <phoneticPr fontId="1" type="noConversion"/>
  </si>
  <si>
    <t>使用木桩进行近身战斗检定时获得+2。</t>
    <phoneticPr fontId="1" type="noConversion"/>
  </si>
  <si>
    <t>木桩、十字架项链、弩、剑。</t>
    <phoneticPr fontId="1" type="noConversion"/>
  </si>
  <si>
    <t>v2.0</t>
    <phoneticPr fontId="1" type="noConversion"/>
  </si>
  <si>
    <t>增加扩展《喀尔巴阡》中的新泛型：吸血鬼猎人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</si>
</sst>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483517"/>
      <name val="等线"/>
      <family val="3"/>
      <charset val="134"/>
      <scheme val="minor"/>
    </font>
    <font>
      <b/>
      <sz val="11"/>
      <color rgb="FF483517"/>
      <name val="等线"/>
      <family val="3"/>
      <charset val="134"/>
      <scheme val="minor"/>
    </font>
    <font>
      <sz val="9"/>
      <color theme="2" tint="-0.249977111117893"/>
      <name val="等线"/>
      <family val="3"/>
      <charset val="134"/>
      <scheme val="minor"/>
    </font>
    <font>
      <sz val="7"/>
      <color theme="2" tint="-0.249977111117893"/>
      <name val="等线"/>
      <family val="3"/>
      <charset val="134"/>
      <scheme val="minor"/>
    </font>
    <font>
      <b/>
      <sz val="9"/>
      <color rgb="FF483517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6F5F3"/>
        <bgColor indexed="64"/>
      </patternFill>
    </fill>
    <fill>
      <patternFill patternType="solid">
        <fgColor rgb="FFB09D8D"/>
        <bgColor indexed="64"/>
      </patternFill>
    </fill>
    <fill>
      <patternFill patternType="solid">
        <fgColor rgb="FFE0DAD2"/>
        <bgColor indexed="64"/>
      </patternFill>
    </fill>
    <fill>
      <patternFill patternType="solid">
        <fgColor rgb="FFE3E0D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2" fillId="6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4" xfId="0" applyFont="1" applyFill="1" applyBorder="1" applyAlignment="1" applyProtection="1">
      <alignment vertic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textRotation="255"/>
      <protection locked="0"/>
    </xf>
    <xf numFmtId="0" fontId="6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49" fontId="2" fillId="5" borderId="5" xfId="0" applyNumberFormat="1" applyFont="1" applyFill="1" applyBorder="1" applyAlignment="1">
      <alignment horizontal="center" vertical="center" wrapText="1"/>
    </xf>
    <xf numFmtId="49" fontId="2" fillId="5" borderId="7" xfId="0" applyNumberFormat="1" applyFont="1" applyFill="1" applyBorder="1" applyAlignment="1">
      <alignment horizontal="center" vertical="center" wrapText="1"/>
    </xf>
    <xf numFmtId="49" fontId="2" fillId="5" borderId="8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30">
    <dxf>
      <font>
        <color rgb="FF483517"/>
      </font>
      <fill>
        <patternFill patternType="none">
          <bgColor auto="1"/>
        </patternFill>
      </fill>
    </dxf>
    <dxf>
      <font>
        <color rgb="FF483517"/>
      </font>
      <fill>
        <patternFill patternType="none">
          <bgColor auto="1"/>
        </patternFill>
      </fill>
    </dxf>
    <dxf>
      <font>
        <color rgb="FF483517"/>
      </font>
      <fill>
        <patternFill patternType="none">
          <bgColor auto="1"/>
        </patternFill>
      </fill>
    </dxf>
    <dxf>
      <font>
        <color rgb="FF483517"/>
      </font>
      <fill>
        <patternFill patternType="none">
          <bgColor auto="1"/>
        </patternFill>
      </fill>
    </dxf>
    <dxf>
      <font>
        <color rgb="FF483517"/>
      </font>
      <fill>
        <patternFill patternType="none">
          <bgColor auto="1"/>
        </patternFill>
      </fill>
    </dxf>
    <dxf>
      <font>
        <color rgb="FF483517"/>
      </font>
      <fill>
        <patternFill patternType="none">
          <bgColor auto="1"/>
        </patternFill>
      </fill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FF0000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font>
        <color rgb="FF50808E"/>
      </font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0808E"/>
      <color rgb="FF483517"/>
      <color rgb="FFB09D8D"/>
      <color rgb="FFE3E0D9"/>
      <color rgb="FFF6F5F3"/>
      <color rgb="FFE0DAD2"/>
      <color rgb="FFF07167"/>
      <color rgb="FFA44A3F"/>
      <color rgb="FF386641"/>
      <color rgb="FF344E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EC936-39AA-4463-852B-575A7CB3FB10}" name="表1" displayName="表1" ref="A1:A12" totalsRowShown="0" headerRowDxfId="29" dataDxfId="28">
  <autoFilter ref="A1:A12" xr:uid="{157EC936-39AA-4463-852B-575A7CB3FB10}"/>
  <tableColumns count="1">
    <tableColumn id="1" xr3:uid="{A5B387DC-570D-4962-806D-FBD8DB9D19C7}" name="泛型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3734-0D34-4B90-94ED-BE55BB29BE37}">
  <sheetPr>
    <pageSetUpPr fitToPage="1"/>
  </sheetPr>
  <dimension ref="A1:AH36"/>
  <sheetViews>
    <sheetView showGridLines="0" tabSelected="1" zoomScaleNormal="100" zoomScalePageLayoutView="85" workbookViewId="0">
      <selection activeCell="K15" sqref="K15:T15"/>
    </sheetView>
  </sheetViews>
  <sheetFormatPr defaultColWidth="8.9140625" defaultRowHeight="14" x14ac:dyDescent="0.3"/>
  <cols>
    <col min="1" max="30" width="3.33203125" style="2" customWidth="1"/>
    <col min="31" max="31" width="8.9140625" style="2" customWidth="1"/>
    <col min="32" max="32" width="8.9140625" style="2"/>
    <col min="33" max="33" width="7.58203125" style="2" customWidth="1"/>
    <col min="34" max="34" width="2.08203125" style="2" customWidth="1"/>
    <col min="35" max="16384" width="8.9140625" style="2"/>
  </cols>
  <sheetData>
    <row r="1" spans="1:34" ht="15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 t="s">
        <v>15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 t="s">
        <v>52</v>
      </c>
      <c r="V1" s="22"/>
      <c r="W1" s="22"/>
      <c r="X1" s="22"/>
      <c r="Y1" s="22"/>
      <c r="Z1" s="22"/>
      <c r="AA1" s="22"/>
      <c r="AB1" s="22"/>
      <c r="AC1" s="22"/>
      <c r="AD1" s="22"/>
      <c r="AE1" s="22" t="s">
        <v>130</v>
      </c>
      <c r="AF1" s="22"/>
      <c r="AG1" s="22"/>
      <c r="AH1" s="22"/>
    </row>
    <row r="2" spans="1:34" ht="15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34" ht="15" customHeight="1" x14ac:dyDescent="0.3">
      <c r="A3" s="22" t="s">
        <v>14</v>
      </c>
      <c r="B3" s="22"/>
      <c r="C3" s="22"/>
      <c r="D3" s="22"/>
      <c r="E3" s="22"/>
      <c r="F3" s="22"/>
      <c r="G3" s="22"/>
      <c r="H3" s="22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ht="15" customHeight="1" x14ac:dyDescent="0.3">
      <c r="A4" s="23"/>
      <c r="B4" s="23"/>
      <c r="C4" s="23"/>
      <c r="D4" s="23"/>
      <c r="E4" s="23"/>
      <c r="F4" s="23"/>
      <c r="G4" s="23"/>
      <c r="H4" s="23"/>
      <c r="I4" s="22" t="s">
        <v>16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spans="1:34" ht="15" customHeight="1" x14ac:dyDescent="0.3">
      <c r="A5" s="27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2" t="s">
        <v>39</v>
      </c>
      <c r="V5" s="22"/>
      <c r="W5" s="22"/>
      <c r="X5" s="22"/>
      <c r="Y5" s="22"/>
      <c r="Z5" s="22"/>
      <c r="AA5" s="22"/>
      <c r="AB5" s="22"/>
      <c r="AC5" s="22"/>
      <c r="AD5" s="22"/>
      <c r="AE5" s="23"/>
      <c r="AF5" s="23"/>
      <c r="AG5" s="23"/>
      <c r="AH5" s="23"/>
    </row>
    <row r="6" spans="1:34" ht="15" customHeight="1" x14ac:dyDescent="0.3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7" spans="1:34" ht="15" customHeight="1" x14ac:dyDescent="0.3">
      <c r="A7" s="23"/>
      <c r="B7" s="23"/>
      <c r="C7" s="23"/>
      <c r="D7" s="23"/>
      <c r="E7" s="23"/>
      <c r="F7" s="23"/>
      <c r="G7" s="23"/>
      <c r="H7" s="23"/>
      <c r="I7" s="22" t="s">
        <v>17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</row>
    <row r="8" spans="1:34" ht="15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5" customHeight="1" x14ac:dyDescent="0.3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2" t="s">
        <v>40</v>
      </c>
      <c r="V9" s="22"/>
      <c r="W9" s="22"/>
      <c r="X9" s="22"/>
      <c r="Y9" s="22"/>
      <c r="Z9" s="22"/>
      <c r="AA9" s="22"/>
      <c r="AB9" s="22"/>
      <c r="AC9" s="22"/>
      <c r="AD9" s="22"/>
      <c r="AE9" s="23"/>
      <c r="AF9" s="23"/>
      <c r="AG9" s="23"/>
      <c r="AH9" s="23"/>
    </row>
    <row r="10" spans="1:34" ht="15" customHeight="1" x14ac:dyDescent="0.3">
      <c r="A10" s="23"/>
      <c r="B10" s="23"/>
      <c r="C10" s="23"/>
      <c r="D10" s="23"/>
      <c r="E10" s="23"/>
      <c r="F10" s="23"/>
      <c r="G10" s="23"/>
      <c r="H10" s="23"/>
      <c r="I10" s="32" t="s">
        <v>18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/>
      <c r="U10" s="37" t="s">
        <v>55</v>
      </c>
      <c r="V10" s="28" t="s">
        <v>134</v>
      </c>
      <c r="W10" s="28"/>
      <c r="X10" s="28"/>
      <c r="Y10" s="14" t="s">
        <v>57</v>
      </c>
      <c r="Z10" s="37" t="s">
        <v>56</v>
      </c>
      <c r="AA10" s="28" t="s">
        <v>137</v>
      </c>
      <c r="AB10" s="28"/>
      <c r="AC10" s="28"/>
      <c r="AD10" s="14" t="s">
        <v>57</v>
      </c>
      <c r="AE10" s="23"/>
      <c r="AF10" s="23"/>
      <c r="AG10" s="23"/>
      <c r="AH10" s="23"/>
    </row>
    <row r="11" spans="1:34" ht="15" customHeight="1" x14ac:dyDescent="0.3">
      <c r="A11" s="23"/>
      <c r="B11" s="23"/>
      <c r="C11" s="23"/>
      <c r="D11" s="23"/>
      <c r="E11" s="23"/>
      <c r="F11" s="23"/>
      <c r="G11" s="23"/>
      <c r="H11" s="23"/>
      <c r="I11" s="38" t="s">
        <v>19</v>
      </c>
      <c r="J11" s="38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37"/>
      <c r="V11" s="28" t="s">
        <v>135</v>
      </c>
      <c r="W11" s="28"/>
      <c r="X11" s="28"/>
      <c r="Y11" s="14" t="s">
        <v>57</v>
      </c>
      <c r="Z11" s="37"/>
      <c r="AA11" s="28" t="s">
        <v>138</v>
      </c>
      <c r="AB11" s="28"/>
      <c r="AC11" s="28"/>
      <c r="AD11" s="14" t="s">
        <v>57</v>
      </c>
      <c r="AE11" s="23"/>
      <c r="AF11" s="23"/>
      <c r="AG11" s="23"/>
      <c r="AH11" s="23"/>
    </row>
    <row r="12" spans="1:34" ht="1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37"/>
      <c r="V12" s="28" t="s">
        <v>136</v>
      </c>
      <c r="W12" s="28"/>
      <c r="X12" s="28"/>
      <c r="Y12" s="14" t="s">
        <v>57</v>
      </c>
      <c r="Z12" s="37"/>
      <c r="AA12" s="28" t="s">
        <v>139</v>
      </c>
      <c r="AB12" s="28"/>
      <c r="AC12" s="28"/>
      <c r="AD12" s="14" t="s">
        <v>57</v>
      </c>
      <c r="AE12" s="23"/>
      <c r="AF12" s="23"/>
      <c r="AG12" s="23"/>
      <c r="AH12" s="23"/>
    </row>
    <row r="13" spans="1:34" ht="15" customHeight="1" x14ac:dyDescent="0.3">
      <c r="A13" s="23"/>
      <c r="B13" s="23"/>
      <c r="C13" s="23"/>
      <c r="D13" s="23"/>
      <c r="E13" s="23"/>
      <c r="F13" s="23"/>
      <c r="G13" s="23"/>
      <c r="H13" s="23"/>
      <c r="I13" s="38" t="s">
        <v>26</v>
      </c>
      <c r="J13" s="38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37"/>
      <c r="V13" s="28" t="s">
        <v>133</v>
      </c>
      <c r="W13" s="28"/>
      <c r="X13" s="28"/>
      <c r="Y13" s="14" t="s">
        <v>57</v>
      </c>
      <c r="Z13" s="37"/>
      <c r="AA13" s="28" t="s">
        <v>133</v>
      </c>
      <c r="AB13" s="28"/>
      <c r="AC13" s="28"/>
      <c r="AD13" s="14" t="s">
        <v>57</v>
      </c>
      <c r="AE13" s="23"/>
      <c r="AF13" s="23"/>
      <c r="AG13" s="23"/>
      <c r="AH13" s="23"/>
    </row>
    <row r="14" spans="1:34" ht="1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2" t="s">
        <v>53</v>
      </c>
      <c r="V14" s="22"/>
      <c r="W14" s="22"/>
      <c r="X14" s="22"/>
      <c r="Y14" s="22"/>
      <c r="Z14" s="22"/>
      <c r="AA14" s="22"/>
      <c r="AB14" s="22"/>
      <c r="AC14" s="22"/>
      <c r="AD14" s="22"/>
      <c r="AE14" s="23"/>
      <c r="AF14" s="23"/>
      <c r="AG14" s="23"/>
      <c r="AH14" s="23"/>
    </row>
    <row r="15" spans="1:34" ht="15" customHeight="1" x14ac:dyDescent="0.3">
      <c r="A15" s="22" t="s">
        <v>1</v>
      </c>
      <c r="B15" s="22"/>
      <c r="C15" s="22"/>
      <c r="D15" s="23"/>
      <c r="E15" s="23"/>
      <c r="F15" s="23"/>
      <c r="G15" s="23"/>
      <c r="H15" s="23"/>
      <c r="I15" s="38" t="s">
        <v>27</v>
      </c>
      <c r="J15" s="38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spans="1:34" ht="15" customHeight="1" x14ac:dyDescent="0.3">
      <c r="A16" s="22" t="s">
        <v>4</v>
      </c>
      <c r="B16" s="22"/>
      <c r="C16" s="22"/>
      <c r="D16" s="23"/>
      <c r="E16" s="23"/>
      <c r="F16" s="36" t="str">
        <f>IF(D16&gt;=51,"老年(51+)",IF(D16&gt;=26,"中年(26-50)",IF(D16&gt;=17,"青年(17-25)","年龄错误")))</f>
        <v>年龄错误</v>
      </c>
      <c r="G16" s="36"/>
      <c r="H16" s="36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spans="1:34" ht="15" customHeight="1" x14ac:dyDescent="0.3">
      <c r="A17" s="22" t="s">
        <v>23</v>
      </c>
      <c r="B17" s="22"/>
      <c r="C17" s="22" t="str">
        <f>IFERROR(VLOOKUP(E18,资产表!A2:B9,2,FALSE),"")</f>
        <v/>
      </c>
      <c r="D17" s="22"/>
      <c r="E17" s="22"/>
      <c r="F17" s="22" t="s">
        <v>20</v>
      </c>
      <c r="G17" s="22"/>
      <c r="H17" s="22"/>
      <c r="I17" s="38" t="s">
        <v>28</v>
      </c>
      <c r="J17" s="38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23"/>
      <c r="AF17" s="23"/>
      <c r="AG17" s="23"/>
      <c r="AH17" s="23"/>
    </row>
    <row r="18" spans="1:34" ht="15" customHeight="1" x14ac:dyDescent="0.3">
      <c r="A18" s="5" t="str">
        <f>IFERROR(VLOOKUP(D15,辅助表!A2:B12,2,FALSE),"")</f>
        <v/>
      </c>
      <c r="B18" s="3" t="s">
        <v>21</v>
      </c>
      <c r="C18" s="14"/>
      <c r="D18" s="3" t="s">
        <v>22</v>
      </c>
      <c r="E18" s="6" t="str">
        <f>IFERROR(A18+C18,"")</f>
        <v/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32" t="s">
        <v>38</v>
      </c>
      <c r="V18" s="34"/>
      <c r="W18" s="15" t="s">
        <v>57</v>
      </c>
      <c r="X18" s="15" t="s">
        <v>57</v>
      </c>
      <c r="Y18" s="15" t="s">
        <v>57</v>
      </c>
      <c r="Z18" s="15" t="s">
        <v>57</v>
      </c>
      <c r="AA18" s="15" t="s">
        <v>57</v>
      </c>
      <c r="AB18" s="15" t="s">
        <v>57</v>
      </c>
      <c r="AC18" s="15" t="s">
        <v>57</v>
      </c>
      <c r="AD18" s="15" t="s">
        <v>57</v>
      </c>
      <c r="AE18" s="22" t="s">
        <v>131</v>
      </c>
      <c r="AF18" s="22"/>
      <c r="AG18" s="22"/>
      <c r="AH18" s="22"/>
    </row>
    <row r="19" spans="1:34" ht="15" customHeight="1" x14ac:dyDescent="0.3">
      <c r="A19" s="33" t="s">
        <v>129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4"/>
      <c r="M19" s="43" t="s">
        <v>2</v>
      </c>
      <c r="N19" s="43"/>
      <c r="O19" s="43"/>
      <c r="P19" s="8" t="e">
        <f>VLOOKUP(角色卡!F16,辅助表!A16:E18,4,FALSE)</f>
        <v>#N/A</v>
      </c>
      <c r="Q19" s="43" t="s">
        <v>29</v>
      </c>
      <c r="R19" s="43"/>
      <c r="S19" s="43"/>
      <c r="T19" s="8" t="e">
        <f>VLOOKUP(角色卡!F16,辅助表!A16:E18,5,FALSE)</f>
        <v>#N/A</v>
      </c>
      <c r="U19" s="42" t="s">
        <v>108</v>
      </c>
      <c r="V19" s="42"/>
      <c r="W19" s="42"/>
      <c r="X19" s="42"/>
      <c r="Y19" s="42"/>
      <c r="Z19" s="42"/>
      <c r="AA19" s="42"/>
      <c r="AB19" s="42"/>
      <c r="AC19" s="42"/>
      <c r="AD19" s="42"/>
      <c r="AE19" s="23"/>
      <c r="AF19" s="23"/>
      <c r="AG19" s="23"/>
      <c r="AH19" s="23"/>
    </row>
    <row r="20" spans="1:34" ht="15" customHeight="1" x14ac:dyDescent="0.3">
      <c r="A20" s="41" t="s">
        <v>35</v>
      </c>
      <c r="B20" s="41"/>
      <c r="C20" s="41"/>
      <c r="D20" s="39"/>
      <c r="E20" s="39"/>
      <c r="F20" s="41" t="s">
        <v>41</v>
      </c>
      <c r="G20" s="41"/>
      <c r="H20" s="41"/>
      <c r="I20" s="39"/>
      <c r="J20" s="39"/>
      <c r="K20" s="41" t="s">
        <v>43</v>
      </c>
      <c r="L20" s="41"/>
      <c r="M20" s="41"/>
      <c r="N20" s="39"/>
      <c r="O20" s="39"/>
      <c r="P20" s="41" t="s">
        <v>47</v>
      </c>
      <c r="Q20" s="41"/>
      <c r="R20" s="41"/>
      <c r="S20" s="39"/>
      <c r="T20" s="39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23"/>
      <c r="AF20" s="23"/>
      <c r="AG20" s="23"/>
      <c r="AH20" s="23"/>
    </row>
    <row r="21" spans="1:34" ht="15" customHeight="1" x14ac:dyDescent="0.3">
      <c r="A21" s="28" t="s">
        <v>37</v>
      </c>
      <c r="B21" s="28"/>
      <c r="C21" s="28"/>
      <c r="D21" s="23"/>
      <c r="E21" s="23"/>
      <c r="F21" s="28" t="s">
        <v>42</v>
      </c>
      <c r="G21" s="28"/>
      <c r="H21" s="28"/>
      <c r="I21" s="23"/>
      <c r="J21" s="23"/>
      <c r="K21" s="28" t="s">
        <v>44</v>
      </c>
      <c r="L21" s="28"/>
      <c r="M21" s="28"/>
      <c r="N21" s="23"/>
      <c r="O21" s="23"/>
      <c r="P21" s="28" t="s">
        <v>48</v>
      </c>
      <c r="Q21" s="28"/>
      <c r="R21" s="28"/>
      <c r="S21" s="23"/>
      <c r="T21" s="23"/>
      <c r="U21" s="40" t="s">
        <v>109</v>
      </c>
      <c r="V21" s="40"/>
      <c r="W21" s="40"/>
      <c r="X21" s="40"/>
      <c r="Y21" s="40"/>
      <c r="Z21" s="40"/>
      <c r="AA21" s="40"/>
      <c r="AB21" s="40"/>
      <c r="AC21" s="40"/>
      <c r="AD21" s="40"/>
      <c r="AE21" s="23"/>
      <c r="AF21" s="23"/>
      <c r="AG21" s="23"/>
      <c r="AH21" s="23"/>
    </row>
    <row r="22" spans="1:34" ht="15" customHeight="1" x14ac:dyDescent="0.3">
      <c r="A22" s="28" t="s">
        <v>140</v>
      </c>
      <c r="B22" s="28"/>
      <c r="C22" s="28"/>
      <c r="D22" s="23"/>
      <c r="E22" s="23"/>
      <c r="F22" s="28" t="s">
        <v>51</v>
      </c>
      <c r="G22" s="28"/>
      <c r="H22" s="28"/>
      <c r="I22" s="23"/>
      <c r="J22" s="23"/>
      <c r="K22" s="28" t="s">
        <v>45</v>
      </c>
      <c r="L22" s="28"/>
      <c r="M22" s="28"/>
      <c r="N22" s="23"/>
      <c r="O22" s="23"/>
      <c r="P22" s="28" t="s">
        <v>128</v>
      </c>
      <c r="Q22" s="28"/>
      <c r="R22" s="28"/>
      <c r="S22" s="23"/>
      <c r="T22" s="23"/>
      <c r="U22" s="42" t="s">
        <v>110</v>
      </c>
      <c r="V22" s="42"/>
      <c r="W22" s="42"/>
      <c r="X22" s="42"/>
      <c r="Y22" s="42"/>
      <c r="Z22" s="42"/>
      <c r="AA22" s="42"/>
      <c r="AB22" s="42"/>
      <c r="AC22" s="42"/>
      <c r="AD22" s="42"/>
      <c r="AE22" s="23"/>
      <c r="AF22" s="23"/>
      <c r="AG22" s="23"/>
      <c r="AH22" s="23"/>
    </row>
    <row r="23" spans="1:34" ht="15" customHeight="1" x14ac:dyDescent="0.3">
      <c r="A23" s="28" t="s">
        <v>141</v>
      </c>
      <c r="B23" s="28"/>
      <c r="C23" s="28"/>
      <c r="D23" s="23"/>
      <c r="E23" s="23"/>
      <c r="F23" s="28" t="s">
        <v>100</v>
      </c>
      <c r="G23" s="28"/>
      <c r="H23" s="28"/>
      <c r="I23" s="23"/>
      <c r="J23" s="23"/>
      <c r="K23" s="28" t="s">
        <v>46</v>
      </c>
      <c r="L23" s="28"/>
      <c r="M23" s="28"/>
      <c r="N23" s="23"/>
      <c r="O23" s="23"/>
      <c r="P23" s="28" t="s">
        <v>50</v>
      </c>
      <c r="Q23" s="28"/>
      <c r="R23" s="28"/>
      <c r="S23" s="23"/>
      <c r="T23" s="23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23"/>
      <c r="AF23" s="23"/>
      <c r="AG23" s="23"/>
      <c r="AH23" s="23"/>
    </row>
    <row r="24" spans="1:34" ht="15" customHeight="1" x14ac:dyDescent="0.3">
      <c r="A24" s="32" t="s">
        <v>54</v>
      </c>
      <c r="B24" s="33"/>
      <c r="C24" s="33"/>
      <c r="D24" s="34"/>
      <c r="E24" s="32" t="s">
        <v>269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/>
      <c r="U24" s="40" t="s">
        <v>111</v>
      </c>
      <c r="V24" s="40"/>
      <c r="W24" s="40"/>
      <c r="X24" s="40"/>
      <c r="Y24" s="40"/>
      <c r="Z24" s="40"/>
      <c r="AA24" s="40"/>
      <c r="AB24" s="40"/>
      <c r="AC24" s="40"/>
      <c r="AD24" s="40"/>
      <c r="AE24" s="23"/>
      <c r="AF24" s="23"/>
      <c r="AG24" s="23"/>
      <c r="AH24" s="23"/>
    </row>
    <row r="25" spans="1:34" ht="15" customHeight="1" x14ac:dyDescent="0.3">
      <c r="A25" s="24"/>
      <c r="B25" s="25"/>
      <c r="C25" s="25"/>
      <c r="D25" s="26"/>
      <c r="E25" s="29" t="str">
        <f>IFERROR(VLOOKUP(A25,天赋表!B2:C58,2,FALSE),"")</f>
        <v/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1"/>
      <c r="U25" s="40" t="s">
        <v>112</v>
      </c>
      <c r="V25" s="40"/>
      <c r="W25" s="40"/>
      <c r="X25" s="40"/>
      <c r="Y25" s="40"/>
      <c r="Z25" s="40"/>
      <c r="AA25" s="40"/>
      <c r="AB25" s="40"/>
      <c r="AC25" s="40"/>
      <c r="AD25" s="40"/>
      <c r="AE25" s="23"/>
      <c r="AF25" s="23"/>
      <c r="AG25" s="23"/>
      <c r="AH25" s="23"/>
    </row>
    <row r="26" spans="1:34" ht="15" customHeight="1" x14ac:dyDescent="0.3">
      <c r="A26" s="24"/>
      <c r="B26" s="25"/>
      <c r="C26" s="25"/>
      <c r="D26" s="26"/>
      <c r="E26" s="29" t="str">
        <f>IFERROR(VLOOKUP(A26,天赋表!B2:C58,2,FALSE),"")</f>
        <v/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1"/>
      <c r="U26" s="40" t="s">
        <v>113</v>
      </c>
      <c r="V26" s="40"/>
      <c r="W26" s="40"/>
      <c r="X26" s="40"/>
      <c r="Y26" s="40"/>
      <c r="Z26" s="40"/>
      <c r="AA26" s="40"/>
      <c r="AB26" s="40"/>
      <c r="AC26" s="40"/>
      <c r="AD26" s="40"/>
      <c r="AE26" s="23"/>
      <c r="AF26" s="23"/>
      <c r="AG26" s="23"/>
      <c r="AH26" s="23"/>
    </row>
    <row r="27" spans="1:34" ht="15" customHeight="1" x14ac:dyDescent="0.3">
      <c r="A27" s="24"/>
      <c r="B27" s="25"/>
      <c r="C27" s="25"/>
      <c r="D27" s="26"/>
      <c r="E27" s="29" t="str">
        <f>IFERROR(VLOOKUP(A27,天赋表!B2:C58,2,FALSE),"")</f>
        <v/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1"/>
      <c r="U27" s="40" t="s">
        <v>114</v>
      </c>
      <c r="V27" s="40"/>
      <c r="W27" s="40"/>
      <c r="X27" s="40"/>
      <c r="Y27" s="40"/>
      <c r="Z27" s="40"/>
      <c r="AA27" s="40"/>
      <c r="AB27" s="40"/>
      <c r="AC27" s="40"/>
      <c r="AD27" s="40"/>
      <c r="AE27" s="23"/>
      <c r="AF27" s="23"/>
      <c r="AG27" s="23"/>
      <c r="AH27" s="23"/>
    </row>
    <row r="28" spans="1:34" ht="13.75" customHeight="1" x14ac:dyDescent="0.3">
      <c r="A28" s="24"/>
      <c r="B28" s="25"/>
      <c r="C28" s="25"/>
      <c r="D28" s="26"/>
      <c r="E28" s="29" t="str">
        <f>IFERROR(VLOOKUP(A28,天赋表!B2:C58,2,FALSE),"")</f>
        <v/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1"/>
      <c r="U28" s="40" t="s">
        <v>115</v>
      </c>
      <c r="V28" s="40"/>
      <c r="W28" s="40"/>
      <c r="X28" s="40"/>
      <c r="Y28" s="40"/>
      <c r="Z28" s="40"/>
      <c r="AA28" s="40"/>
      <c r="AB28" s="40"/>
      <c r="AC28" s="40"/>
      <c r="AD28" s="40"/>
      <c r="AE28" s="23"/>
      <c r="AF28" s="23"/>
      <c r="AG28" s="23"/>
      <c r="AH28" s="23"/>
    </row>
    <row r="29" spans="1:34" x14ac:dyDescent="0.3">
      <c r="A29" s="22" t="s">
        <v>58</v>
      </c>
      <c r="B29" s="22"/>
      <c r="C29" s="22"/>
      <c r="D29" s="22"/>
      <c r="E29" s="22" t="s">
        <v>59</v>
      </c>
      <c r="F29" s="22"/>
      <c r="G29" s="22"/>
      <c r="H29" s="22"/>
      <c r="I29" s="22"/>
      <c r="J29" s="22"/>
      <c r="K29" s="22"/>
      <c r="L29" s="22"/>
      <c r="M29" s="22" t="s">
        <v>102</v>
      </c>
      <c r="N29" s="22"/>
      <c r="O29" s="22" t="s">
        <v>103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 t="s">
        <v>107</v>
      </c>
      <c r="AB29" s="22"/>
      <c r="AC29" s="22" t="s">
        <v>37</v>
      </c>
      <c r="AD29" s="22"/>
      <c r="AE29" s="23"/>
      <c r="AF29" s="23"/>
      <c r="AG29" s="23"/>
      <c r="AH29" s="23"/>
    </row>
    <row r="30" spans="1:34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 x14ac:dyDescent="0.3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2" t="s">
        <v>104</v>
      </c>
      <c r="P31" s="22"/>
      <c r="Q31" s="22"/>
      <c r="R31" s="22"/>
      <c r="S31" s="22"/>
      <c r="T31" s="22"/>
      <c r="U31" s="22"/>
      <c r="V31" s="22" t="s">
        <v>106</v>
      </c>
      <c r="W31" s="22"/>
      <c r="X31" s="22" t="s">
        <v>105</v>
      </c>
      <c r="Y31" s="22"/>
      <c r="Z31" s="22" t="s">
        <v>102</v>
      </c>
      <c r="AA31" s="22"/>
      <c r="AB31" s="22" t="s">
        <v>116</v>
      </c>
      <c r="AC31" s="22"/>
      <c r="AD31" s="22"/>
      <c r="AE31" s="23"/>
      <c r="AF31" s="23"/>
      <c r="AG31" s="23"/>
      <c r="AH31" s="23"/>
    </row>
    <row r="32" spans="1:34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x14ac:dyDescent="0.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23"/>
      <c r="AF33" s="23"/>
      <c r="AG33" s="23"/>
      <c r="AH33" s="23"/>
    </row>
    <row r="34" spans="1:34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x14ac:dyDescent="0.3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23"/>
      <c r="AF35" s="23"/>
      <c r="AG35" s="23"/>
      <c r="AH35" s="23"/>
    </row>
    <row r="36" spans="1:34" x14ac:dyDescent="0.3">
      <c r="A36" s="45" t="str">
        <f>IFERROR(_xlfn.CONCAT("职业装备:",VLOOKUP(D15,辅助表!A2:I12,9,FALSE))," ")</f>
        <v xml:space="preserve"> 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</row>
  </sheetData>
  <sheetProtection sheet="1" selectLockedCells="1"/>
  <mergeCells count="167">
    <mergeCell ref="A33:D33"/>
    <mergeCell ref="E33:L33"/>
    <mergeCell ref="M33:N33"/>
    <mergeCell ref="O33:U33"/>
    <mergeCell ref="V33:W33"/>
    <mergeCell ref="A36:AH36"/>
    <mergeCell ref="AE1:AH1"/>
    <mergeCell ref="AE2:AH17"/>
    <mergeCell ref="AE18:AH18"/>
    <mergeCell ref="AE19:AH35"/>
    <mergeCell ref="I11:J11"/>
    <mergeCell ref="I13:J13"/>
    <mergeCell ref="K11:T11"/>
    <mergeCell ref="K13:T13"/>
    <mergeCell ref="I10:T10"/>
    <mergeCell ref="D21:E21"/>
    <mergeCell ref="D23:E23"/>
    <mergeCell ref="A19:L19"/>
    <mergeCell ref="I21:J21"/>
    <mergeCell ref="I22:J22"/>
    <mergeCell ref="I23:J23"/>
    <mergeCell ref="F20:H20"/>
    <mergeCell ref="F21:H21"/>
    <mergeCell ref="F22:H22"/>
    <mergeCell ref="Z34:AA34"/>
    <mergeCell ref="AB34:AD34"/>
    <mergeCell ref="P20:R20"/>
    <mergeCell ref="P21:R21"/>
    <mergeCell ref="P22:R22"/>
    <mergeCell ref="P23:R23"/>
    <mergeCell ref="Z31:AA31"/>
    <mergeCell ref="AB31:AD31"/>
    <mergeCell ref="U27:AD27"/>
    <mergeCell ref="U28:AD28"/>
    <mergeCell ref="S23:T23"/>
    <mergeCell ref="AA30:AB30"/>
    <mergeCell ref="AC30:AD30"/>
    <mergeCell ref="X33:Y33"/>
    <mergeCell ref="Z35:AA35"/>
    <mergeCell ref="AB35:AD35"/>
    <mergeCell ref="A32:D32"/>
    <mergeCell ref="E32:L32"/>
    <mergeCell ref="M32:N32"/>
    <mergeCell ref="O32:U32"/>
    <mergeCell ref="V32:W32"/>
    <mergeCell ref="X32:Y32"/>
    <mergeCell ref="Z32:AA32"/>
    <mergeCell ref="AB32:AD32"/>
    <mergeCell ref="A35:D35"/>
    <mergeCell ref="E35:L35"/>
    <mergeCell ref="M35:N35"/>
    <mergeCell ref="O35:U35"/>
    <mergeCell ref="V35:W35"/>
    <mergeCell ref="X35:Y35"/>
    <mergeCell ref="Z33:AA33"/>
    <mergeCell ref="AB33:AD33"/>
    <mergeCell ref="A34:D34"/>
    <mergeCell ref="E34:L34"/>
    <mergeCell ref="M34:N34"/>
    <mergeCell ref="O34:U34"/>
    <mergeCell ref="V34:W34"/>
    <mergeCell ref="X34:Y34"/>
    <mergeCell ref="A31:D31"/>
    <mergeCell ref="E31:L31"/>
    <mergeCell ref="M31:N31"/>
    <mergeCell ref="O31:U31"/>
    <mergeCell ref="V31:W31"/>
    <mergeCell ref="X31:Y31"/>
    <mergeCell ref="A30:D30"/>
    <mergeCell ref="E30:L30"/>
    <mergeCell ref="M30:N30"/>
    <mergeCell ref="O30:Z30"/>
    <mergeCell ref="A29:D29"/>
    <mergeCell ref="E29:L29"/>
    <mergeCell ref="M29:N29"/>
    <mergeCell ref="O29:Z29"/>
    <mergeCell ref="AA29:AB29"/>
    <mergeCell ref="AC29:AD29"/>
    <mergeCell ref="U25:AD25"/>
    <mergeCell ref="U26:AD26"/>
    <mergeCell ref="I18:T18"/>
    <mergeCell ref="U24:AD24"/>
    <mergeCell ref="S20:T20"/>
    <mergeCell ref="S21:T21"/>
    <mergeCell ref="S22:T22"/>
    <mergeCell ref="K20:M20"/>
    <mergeCell ref="A21:C21"/>
    <mergeCell ref="U21:AD21"/>
    <mergeCell ref="A22:C22"/>
    <mergeCell ref="U22:AD23"/>
    <mergeCell ref="A23:C23"/>
    <mergeCell ref="M19:O19"/>
    <mergeCell ref="Q19:S19"/>
    <mergeCell ref="U19:AD20"/>
    <mergeCell ref="A20:C20"/>
    <mergeCell ref="I20:J20"/>
    <mergeCell ref="D20:E20"/>
    <mergeCell ref="N20:O20"/>
    <mergeCell ref="N21:O21"/>
    <mergeCell ref="N22:O22"/>
    <mergeCell ref="N23:O23"/>
    <mergeCell ref="D22:E22"/>
    <mergeCell ref="A17:B17"/>
    <mergeCell ref="C17:E17"/>
    <mergeCell ref="F17:H17"/>
    <mergeCell ref="I17:J17"/>
    <mergeCell ref="K17:T17"/>
    <mergeCell ref="F23:H23"/>
    <mergeCell ref="K21:M21"/>
    <mergeCell ref="K22:M22"/>
    <mergeCell ref="K23:M23"/>
    <mergeCell ref="U17:AD17"/>
    <mergeCell ref="F18:H18"/>
    <mergeCell ref="U18:V18"/>
    <mergeCell ref="A16:C16"/>
    <mergeCell ref="D16:E16"/>
    <mergeCell ref="F16:H16"/>
    <mergeCell ref="U16:AD16"/>
    <mergeCell ref="U8:AD8"/>
    <mergeCell ref="U9:AD9"/>
    <mergeCell ref="U10:U13"/>
    <mergeCell ref="V10:X10"/>
    <mergeCell ref="Z10:Z13"/>
    <mergeCell ref="AA10:AC10"/>
    <mergeCell ref="V11:X11"/>
    <mergeCell ref="AA11:AC11"/>
    <mergeCell ref="V12:X12"/>
    <mergeCell ref="I16:T16"/>
    <mergeCell ref="I14:T14"/>
    <mergeCell ref="I15:J15"/>
    <mergeCell ref="K15:T15"/>
    <mergeCell ref="AA12:AC12"/>
    <mergeCell ref="V13:X13"/>
    <mergeCell ref="I12:T12"/>
    <mergeCell ref="A26:D26"/>
    <mergeCell ref="A27:D27"/>
    <mergeCell ref="A28:D28"/>
    <mergeCell ref="E25:T25"/>
    <mergeCell ref="E26:T26"/>
    <mergeCell ref="E27:T27"/>
    <mergeCell ref="E28:T28"/>
    <mergeCell ref="A24:D24"/>
    <mergeCell ref="E24:T24"/>
    <mergeCell ref="A1:H1"/>
    <mergeCell ref="I1:T1"/>
    <mergeCell ref="U1:AD1"/>
    <mergeCell ref="A2:H2"/>
    <mergeCell ref="I2:T3"/>
    <mergeCell ref="U2:AD2"/>
    <mergeCell ref="A3:H3"/>
    <mergeCell ref="U3:AD3"/>
    <mergeCell ref="A25:D25"/>
    <mergeCell ref="A4:H4"/>
    <mergeCell ref="I4:T4"/>
    <mergeCell ref="U4:AD4"/>
    <mergeCell ref="A5:H14"/>
    <mergeCell ref="I5:T6"/>
    <mergeCell ref="U5:AD5"/>
    <mergeCell ref="U6:AD6"/>
    <mergeCell ref="I7:T7"/>
    <mergeCell ref="U7:AD7"/>
    <mergeCell ref="I8:T9"/>
    <mergeCell ref="AA13:AC13"/>
    <mergeCell ref="U14:AD14"/>
    <mergeCell ref="A15:C15"/>
    <mergeCell ref="D15:H15"/>
    <mergeCell ref="U15:AD15"/>
  </mergeCells>
  <phoneticPr fontId="1" type="noConversion"/>
  <dataValidations count="3">
    <dataValidation type="list" allowBlank="1" showInputMessage="1" showErrorMessage="1" sqref="AD10:AD13 Y10:Y13 W18:AD18" xr:uid="{411C143F-A7C2-49E5-99DA-AD97E25C1BAF}">
      <formula1>"●,○"</formula1>
    </dataValidation>
    <dataValidation type="list" allowBlank="1" showInputMessage="1" showErrorMessage="1" sqref="A25:D25" xr:uid="{1500A480-0879-4053-8FC4-68D287F9929B}">
      <formula1>INDIRECT($D$15)</formula1>
    </dataValidation>
    <dataValidation type="list" allowBlank="1" showInputMessage="1" showErrorMessage="1" sqref="U2:AD4" xr:uid="{5A78AB91-981E-4A07-B2BA-EEC0BF102C28}">
      <formula1>纪念物</formula1>
    </dataValidation>
  </dataValidations>
  <pageMargins left="0.7" right="0.7" top="0.75" bottom="0.75" header="0.3" footer="0.3"/>
  <pageSetup paperSize="9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BF29DB91-ACC3-455D-8B31-375A54C06B5D}">
            <xm:f>$D$15=辅助表!$A$10</xm:f>
            <x14:dxf>
              <font>
                <color rgb="FF50808E"/>
              </font>
            </x14:dxf>
          </x14:cfRule>
          <x14:cfRule type="expression" priority="23" id="{10FD1CF4-BC0F-4B41-AA01-E16520EE1FC5}">
            <xm:f>$D$15=辅助表!$A$9</xm:f>
            <x14:dxf>
              <font>
                <color rgb="FF50808E"/>
              </font>
            </x14:dxf>
          </x14:cfRule>
          <xm:sqref>A20:C20</xm:sqref>
        </x14:conditionalFormatting>
        <x14:conditionalFormatting xmlns:xm="http://schemas.microsoft.com/office/excel/2006/main">
          <x14:cfRule type="expression" priority="1" id="{3DE84700-1DB2-4199-BF54-CA50B5F7E9D5}">
            <xm:f>$D$15=辅助表!$A$12</xm:f>
            <x14:dxf>
              <font>
                <color rgb="FF50808E"/>
              </font>
            </x14:dxf>
          </x14:cfRule>
          <xm:sqref>A22:C22</xm:sqref>
        </x14:conditionalFormatting>
        <x14:conditionalFormatting xmlns:xm="http://schemas.microsoft.com/office/excel/2006/main">
          <x14:cfRule type="expression" priority="6" id="{5390E3B7-4D37-4707-AAB7-15C1EF441058}">
            <xm:f>$D$15=辅助表!$A$9</xm:f>
            <x14:dxf>
              <font>
                <color rgb="FF50808E"/>
              </font>
            </x14:dxf>
          </x14:cfRule>
          <xm:sqref>A23:C23</xm:sqref>
        </x14:conditionalFormatting>
        <x14:conditionalFormatting xmlns:xm="http://schemas.microsoft.com/office/excel/2006/main">
          <x14:cfRule type="expression" priority="3" id="{FE6552C6-62B1-4DCE-B171-B73DCF6E9D22}">
            <xm:f>$E$18&gt;VLOOKUP($D$15,辅助表!$A$2:$C$11,3,FALSE)</xm:f>
            <x14:dxf>
              <font>
                <color rgb="FFFF0000"/>
              </font>
            </x14:dxf>
          </x14:cfRule>
          <xm:sqref>E18</xm:sqref>
        </x14:conditionalFormatting>
        <x14:conditionalFormatting xmlns:xm="http://schemas.microsoft.com/office/excel/2006/main">
          <x14:cfRule type="expression" priority="2" id="{C2601603-6929-47B8-B259-9C8FDA4FA3BE}">
            <xm:f>$D$15=辅助表!$A$12</xm:f>
            <x14:dxf>
              <font>
                <color rgb="FF50808E"/>
              </font>
            </x14:dxf>
          </x14:cfRule>
          <x14:cfRule type="expression" priority="19" id="{A5A24579-F71C-4166-977A-E836341DFA38}">
            <xm:f>$D$15=辅助表!$A$6</xm:f>
            <x14:dxf>
              <font>
                <color rgb="FF50808E"/>
              </font>
            </x14:dxf>
          </x14:cfRule>
          <x14:cfRule type="expression" priority="20" id="{F03718BE-A8FB-47ED-BD44-1150B4050D43}">
            <xm:f>$D$15=辅助表!$A$5</xm:f>
            <x14:dxf>
              <font>
                <color rgb="FF50808E"/>
              </font>
            </x14:dxf>
          </x14:cfRule>
          <x14:cfRule type="expression" priority="21" id="{FB69AAA5-0C3C-41F0-A840-B8DFC752E9B0}">
            <xm:f>$D$15=辅助表!$A$4</xm:f>
            <x14:dxf>
              <font>
                <color rgb="FF50808E"/>
              </font>
            </x14:dxf>
          </x14:cfRule>
          <xm:sqref>F20</xm:sqref>
        </x14:conditionalFormatting>
        <x14:conditionalFormatting xmlns:xm="http://schemas.microsoft.com/office/excel/2006/main">
          <x14:cfRule type="expression" priority="12" id="{E1509AE1-A987-40FE-99DE-E7B7FECA1C94}">
            <xm:f>$D$15=辅助表!$A$3</xm:f>
            <x14:dxf>
              <font>
                <color rgb="FF50808E"/>
              </font>
            </x14:dxf>
          </x14:cfRule>
          <xm:sqref>F21</xm:sqref>
        </x14:conditionalFormatting>
        <x14:conditionalFormatting xmlns:xm="http://schemas.microsoft.com/office/excel/2006/main">
          <x14:cfRule type="expression" priority="10" id="{A324FB64-7845-4C01-B283-4834F4B67D82}">
            <xm:f>$D$15=辅助表!$A$6</xm:f>
            <x14:dxf>
              <font>
                <color rgb="FF50808E"/>
              </font>
            </x14:dxf>
          </x14:cfRule>
          <x14:cfRule type="expression" priority="11" id="{6BF7C72D-B5EE-4DF5-9B8F-93AC889B4662}">
            <xm:f>$D$15=辅助表!$A$4</xm:f>
            <x14:dxf>
              <font>
                <color rgb="FF50808E"/>
              </font>
            </x14:dxf>
          </x14:cfRule>
          <xm:sqref>F22</xm:sqref>
        </x14:conditionalFormatting>
        <x14:conditionalFormatting xmlns:xm="http://schemas.microsoft.com/office/excel/2006/main">
          <x14:cfRule type="expression" priority="9" id="{9BC9AEED-B983-4173-89DD-5878CBBAC400}">
            <xm:f>$D$15=辅助表!$A$5</xm:f>
            <x14:dxf>
              <font>
                <color rgb="FF50808E"/>
              </font>
            </x14:dxf>
          </x14:cfRule>
          <xm:sqref>F23</xm:sqref>
        </x14:conditionalFormatting>
        <x14:conditionalFormatting xmlns:xm="http://schemas.microsoft.com/office/excel/2006/main">
          <x14:cfRule type="expression" priority="16" id="{755FBD90-65DE-4ACA-896C-B80B718B3350}">
            <xm:f>$D$15=辅助表!$A$2</xm:f>
            <x14:dxf>
              <font>
                <color rgb="FF50808E"/>
              </font>
            </x14:dxf>
          </x14:cfRule>
          <x14:cfRule type="expression" priority="17" id="{D0E325F7-2FEA-4036-80F2-54BAEB19A7EB}">
            <xm:f>$D$15=辅助表!$A$3</xm:f>
            <x14:dxf>
              <font>
                <color rgb="FF50808E"/>
              </font>
            </x14:dxf>
          </x14:cfRule>
          <xm:sqref>K20 N20</xm:sqref>
        </x14:conditionalFormatting>
        <x14:conditionalFormatting xmlns:xm="http://schemas.microsoft.com/office/excel/2006/main">
          <x14:cfRule type="expression" priority="7" id="{1F379018-3DA2-4C08-AB95-E62ED724920A}">
            <xm:f>$D$15=辅助表!$A$8</xm:f>
            <x14:dxf>
              <font>
                <color rgb="FF50808E"/>
              </font>
            </x14:dxf>
          </x14:cfRule>
          <xm:sqref>K20:K21 N20:N21</xm:sqref>
        </x14:conditionalFormatting>
        <x14:conditionalFormatting xmlns:xm="http://schemas.microsoft.com/office/excel/2006/main">
          <x14:cfRule type="expression" priority="13" id="{5EFB1351-07E8-4BB2-889C-31C87C65D939}">
            <xm:f>$D$15=辅助表!$A$2</xm:f>
            <x14:dxf>
              <font>
                <color rgb="FF50808E"/>
              </font>
            </x14:dxf>
          </x14:cfRule>
          <xm:sqref>K22 N22</xm:sqref>
        </x14:conditionalFormatting>
        <x14:conditionalFormatting xmlns:xm="http://schemas.microsoft.com/office/excel/2006/main">
          <x14:cfRule type="expression" priority="14" id="{BDCFE3AA-BAED-4DF8-BD48-A697717200D8}">
            <xm:f>$D$15=辅助表!$A$7</xm:f>
            <x14:dxf>
              <font>
                <color rgb="FF50808E"/>
              </font>
            </x14:dxf>
          </x14:cfRule>
          <xm:sqref>P20 S20</xm:sqref>
        </x14:conditionalFormatting>
        <x14:conditionalFormatting xmlns:xm="http://schemas.microsoft.com/office/excel/2006/main">
          <x14:cfRule type="expression" priority="4" id="{61FD9C58-4FBA-4827-A59B-70802047B62E}">
            <xm:f>$D$15=辅助表!$A$11</xm:f>
            <x14:dxf>
              <font>
                <color rgb="FF50808E"/>
              </font>
            </x14:dxf>
          </x14:cfRule>
          <xm:sqref>P20:P21 S20:S21</xm:sqref>
        </x14:conditionalFormatting>
        <x14:conditionalFormatting xmlns:xm="http://schemas.microsoft.com/office/excel/2006/main">
          <x14:cfRule type="expression" priority="5" id="{781C74F3-74F4-4214-A0B1-B076440C02F5}">
            <xm:f>$D$15=辅助表!$A$10</xm:f>
            <x14:dxf>
              <font>
                <color rgb="FF50808E"/>
              </font>
            </x14:dxf>
          </x14:cfRule>
          <xm:sqref>P22 S22</xm:sqref>
        </x14:conditionalFormatting>
        <x14:conditionalFormatting xmlns:xm="http://schemas.microsoft.com/office/excel/2006/main">
          <x14:cfRule type="expression" priority="8" id="{1FEE0E15-4315-4BC4-9257-E86F5B3E45EE}">
            <xm:f>$D$15=辅助表!$A$7</xm:f>
            <x14:dxf>
              <font>
                <color rgb="FF50808E"/>
              </font>
            </x14:dxf>
          </x14:cfRule>
          <xm:sqref>P23 S23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29F0B3-AD20-41C8-86CB-37B74A47E95B}">
          <x14:formula1>
            <xm:f>辅助表!$A$2:$A$12</xm:f>
          </x14:formula1>
          <xm:sqref>D15:H15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90CD-3F6E-4C64-BB5C-95973DE53893}">
  <dimension ref="A1:C58"/>
  <sheetViews>
    <sheetView workbookViewId="0">
      <selection activeCell="B32" sqref="B32"/>
    </sheetView>
  </sheetViews>
  <sheetFormatPr defaultColWidth="8.9140625" defaultRowHeight="14" x14ac:dyDescent="0.3"/>
  <cols>
    <col min="1" max="1" width="11" style="2" bestFit="1" customWidth="1"/>
    <col min="2" max="2" width="13" style="2" bestFit="1" customWidth="1"/>
    <col min="3" max="3" width="97.58203125" style="21" customWidth="1"/>
    <col min="4" max="16384" width="8.9140625" style="2"/>
  </cols>
  <sheetData>
    <row r="1" spans="1:3" s="11" customFormat="1" x14ac:dyDescent="0.3">
      <c r="A1" s="10" t="s">
        <v>79</v>
      </c>
      <c r="B1" s="10" t="s">
        <v>54</v>
      </c>
      <c r="C1" s="18" t="s">
        <v>59</v>
      </c>
    </row>
    <row r="2" spans="1:3" s="11" customFormat="1" x14ac:dyDescent="0.3">
      <c r="A2" s="50" t="s">
        <v>5</v>
      </c>
      <c r="B2" s="12" t="s">
        <v>60</v>
      </c>
      <c r="C2" s="19" t="s">
        <v>220</v>
      </c>
    </row>
    <row r="3" spans="1:3" s="11" customFormat="1" ht="28" x14ac:dyDescent="0.3">
      <c r="A3" s="50"/>
      <c r="B3" s="12" t="s">
        <v>184</v>
      </c>
      <c r="C3" s="19" t="s">
        <v>221</v>
      </c>
    </row>
    <row r="4" spans="1:3" s="11" customFormat="1" x14ac:dyDescent="0.3">
      <c r="A4" s="50"/>
      <c r="B4" s="12" t="s">
        <v>185</v>
      </c>
      <c r="C4" s="19" t="s">
        <v>178</v>
      </c>
    </row>
    <row r="5" spans="1:3" s="11" customFormat="1" x14ac:dyDescent="0.3">
      <c r="A5" s="50" t="s">
        <v>6</v>
      </c>
      <c r="B5" s="12" t="s">
        <v>61</v>
      </c>
      <c r="C5" s="19" t="s">
        <v>222</v>
      </c>
    </row>
    <row r="6" spans="1:3" s="11" customFormat="1" x14ac:dyDescent="0.3">
      <c r="A6" s="50"/>
      <c r="B6" s="12" t="s">
        <v>186</v>
      </c>
      <c r="C6" s="19" t="s">
        <v>223</v>
      </c>
    </row>
    <row r="7" spans="1:3" s="11" customFormat="1" x14ac:dyDescent="0.3">
      <c r="A7" s="50"/>
      <c r="B7" s="12" t="s">
        <v>187</v>
      </c>
      <c r="C7" s="19" t="s">
        <v>179</v>
      </c>
    </row>
    <row r="8" spans="1:3" s="11" customFormat="1" x14ac:dyDescent="0.3">
      <c r="A8" s="50" t="s">
        <v>7</v>
      </c>
      <c r="B8" s="12" t="s">
        <v>188</v>
      </c>
      <c r="C8" s="19" t="s">
        <v>224</v>
      </c>
    </row>
    <row r="9" spans="1:3" s="11" customFormat="1" x14ac:dyDescent="0.3">
      <c r="A9" s="50"/>
      <c r="B9" s="12" t="s">
        <v>189</v>
      </c>
      <c r="C9" s="19" t="s">
        <v>180</v>
      </c>
    </row>
    <row r="10" spans="1:3" s="11" customFormat="1" x14ac:dyDescent="0.3">
      <c r="A10" s="50"/>
      <c r="B10" s="12" t="s">
        <v>62</v>
      </c>
      <c r="C10" s="19" t="s">
        <v>225</v>
      </c>
    </row>
    <row r="11" spans="1:3" s="11" customFormat="1" x14ac:dyDescent="0.3">
      <c r="A11" s="50" t="s">
        <v>8</v>
      </c>
      <c r="B11" s="12" t="s">
        <v>183</v>
      </c>
      <c r="C11" s="19" t="s">
        <v>181</v>
      </c>
    </row>
    <row r="12" spans="1:3" s="11" customFormat="1" ht="28" x14ac:dyDescent="0.3">
      <c r="A12" s="50"/>
      <c r="B12" s="12" t="s">
        <v>63</v>
      </c>
      <c r="C12" s="19" t="s">
        <v>226</v>
      </c>
    </row>
    <row r="13" spans="1:3" s="11" customFormat="1" ht="28" x14ac:dyDescent="0.3">
      <c r="A13" s="50"/>
      <c r="B13" s="12" t="s">
        <v>190</v>
      </c>
      <c r="C13" s="19" t="s">
        <v>227</v>
      </c>
    </row>
    <row r="14" spans="1:3" s="11" customFormat="1" x14ac:dyDescent="0.3">
      <c r="A14" s="50" t="s">
        <v>270</v>
      </c>
      <c r="B14" s="12" t="s">
        <v>191</v>
      </c>
      <c r="C14" s="19" t="s">
        <v>182</v>
      </c>
    </row>
    <row r="15" spans="1:3" s="11" customFormat="1" ht="28" x14ac:dyDescent="0.3">
      <c r="A15" s="50"/>
      <c r="B15" s="12" t="s">
        <v>64</v>
      </c>
      <c r="C15" s="19" t="s">
        <v>219</v>
      </c>
    </row>
    <row r="16" spans="1:3" s="11" customFormat="1" ht="28" x14ac:dyDescent="0.3">
      <c r="A16" s="50"/>
      <c r="B16" s="12" t="s">
        <v>192</v>
      </c>
      <c r="C16" s="19" t="s">
        <v>228</v>
      </c>
    </row>
    <row r="17" spans="1:3" s="11" customFormat="1" x14ac:dyDescent="0.3">
      <c r="A17" s="50" t="s">
        <v>9</v>
      </c>
      <c r="B17" s="12" t="s">
        <v>65</v>
      </c>
      <c r="C17" s="19" t="s">
        <v>193</v>
      </c>
    </row>
    <row r="18" spans="1:3" s="11" customFormat="1" ht="28" x14ac:dyDescent="0.3">
      <c r="A18" s="50"/>
      <c r="B18" s="12" t="s">
        <v>194</v>
      </c>
      <c r="C18" s="19" t="s">
        <v>229</v>
      </c>
    </row>
    <row r="19" spans="1:3" s="11" customFormat="1" x14ac:dyDescent="0.3">
      <c r="A19" s="50"/>
      <c r="B19" s="12" t="s">
        <v>195</v>
      </c>
      <c r="C19" s="19" t="s">
        <v>196</v>
      </c>
    </row>
    <row r="20" spans="1:3" s="11" customFormat="1" x14ac:dyDescent="0.3">
      <c r="A20" s="50" t="s">
        <v>10</v>
      </c>
      <c r="B20" s="12" t="s">
        <v>66</v>
      </c>
      <c r="C20" s="19" t="s">
        <v>230</v>
      </c>
    </row>
    <row r="21" spans="1:3" s="11" customFormat="1" x14ac:dyDescent="0.3">
      <c r="A21" s="50"/>
      <c r="B21" s="12" t="s">
        <v>197</v>
      </c>
      <c r="C21" s="19" t="s">
        <v>231</v>
      </c>
    </row>
    <row r="22" spans="1:3" s="11" customFormat="1" x14ac:dyDescent="0.3">
      <c r="A22" s="50"/>
      <c r="B22" s="12" t="s">
        <v>67</v>
      </c>
      <c r="C22" s="19" t="s">
        <v>198</v>
      </c>
    </row>
    <row r="23" spans="1:3" s="11" customFormat="1" x14ac:dyDescent="0.3">
      <c r="A23" s="50" t="s">
        <v>11</v>
      </c>
      <c r="B23" s="12" t="s">
        <v>68</v>
      </c>
      <c r="C23" s="19" t="s">
        <v>232</v>
      </c>
    </row>
    <row r="24" spans="1:3" s="11" customFormat="1" x14ac:dyDescent="0.3">
      <c r="A24" s="50"/>
      <c r="B24" s="12" t="s">
        <v>199</v>
      </c>
      <c r="C24" s="19" t="s">
        <v>233</v>
      </c>
    </row>
    <row r="25" spans="1:3" s="11" customFormat="1" x14ac:dyDescent="0.3">
      <c r="A25" s="50"/>
      <c r="B25" s="12" t="s">
        <v>200</v>
      </c>
      <c r="C25" s="19" t="s">
        <v>201</v>
      </c>
    </row>
    <row r="26" spans="1:3" s="11" customFormat="1" x14ac:dyDescent="0.3">
      <c r="A26" s="50" t="s">
        <v>12</v>
      </c>
      <c r="B26" s="12" t="s">
        <v>69</v>
      </c>
      <c r="C26" s="19" t="s">
        <v>234</v>
      </c>
    </row>
    <row r="27" spans="1:3" s="11" customFormat="1" x14ac:dyDescent="0.3">
      <c r="A27" s="50"/>
      <c r="B27" s="12" t="s">
        <v>202</v>
      </c>
      <c r="C27" s="19" t="s">
        <v>204</v>
      </c>
    </row>
    <row r="28" spans="1:3" s="11" customFormat="1" ht="28" x14ac:dyDescent="0.3">
      <c r="A28" s="50"/>
      <c r="B28" s="12" t="s">
        <v>203</v>
      </c>
      <c r="C28" s="19" t="s">
        <v>235</v>
      </c>
    </row>
    <row r="29" spans="1:3" s="11" customFormat="1" ht="42" x14ac:dyDescent="0.3">
      <c r="A29" s="50" t="s">
        <v>13</v>
      </c>
      <c r="B29" s="12" t="s">
        <v>70</v>
      </c>
      <c r="C29" s="19" t="s">
        <v>236</v>
      </c>
    </row>
    <row r="30" spans="1:3" s="11" customFormat="1" x14ac:dyDescent="0.3">
      <c r="A30" s="50"/>
      <c r="B30" s="12" t="s">
        <v>71</v>
      </c>
      <c r="C30" s="19" t="s">
        <v>206</v>
      </c>
    </row>
    <row r="31" spans="1:3" s="11" customFormat="1" x14ac:dyDescent="0.3">
      <c r="A31" s="50"/>
      <c r="B31" s="12" t="s">
        <v>205</v>
      </c>
      <c r="C31" s="19" t="s">
        <v>207</v>
      </c>
    </row>
    <row r="32" spans="1:3" s="11" customFormat="1" x14ac:dyDescent="0.3">
      <c r="A32" s="47" t="s">
        <v>281</v>
      </c>
      <c r="B32" s="12" t="s">
        <v>282</v>
      </c>
      <c r="C32" s="19" t="s">
        <v>285</v>
      </c>
    </row>
    <row r="33" spans="1:3" s="11" customFormat="1" x14ac:dyDescent="0.3">
      <c r="A33" s="48"/>
      <c r="B33" s="17" t="s">
        <v>283</v>
      </c>
      <c r="C33" s="20" t="s">
        <v>287</v>
      </c>
    </row>
    <row r="34" spans="1:3" s="11" customFormat="1" x14ac:dyDescent="0.3">
      <c r="A34" s="49"/>
      <c r="B34" s="12" t="s">
        <v>284</v>
      </c>
      <c r="C34" s="19" t="s">
        <v>286</v>
      </c>
    </row>
    <row r="35" spans="1:3" s="11" customFormat="1" x14ac:dyDescent="0.3">
      <c r="A35" s="17" t="s">
        <v>118</v>
      </c>
      <c r="B35" s="17" t="s">
        <v>208</v>
      </c>
      <c r="C35" s="20" t="s">
        <v>237</v>
      </c>
    </row>
    <row r="36" spans="1:3" s="11" customFormat="1" x14ac:dyDescent="0.3">
      <c r="A36" s="12" t="s">
        <v>118</v>
      </c>
      <c r="B36" s="12" t="s">
        <v>72</v>
      </c>
      <c r="C36" s="19" t="s">
        <v>215</v>
      </c>
    </row>
    <row r="37" spans="1:3" s="11" customFormat="1" x14ac:dyDescent="0.3">
      <c r="A37" s="12" t="s">
        <v>118</v>
      </c>
      <c r="B37" s="12" t="s">
        <v>209</v>
      </c>
      <c r="C37" s="19" t="s">
        <v>238</v>
      </c>
    </row>
    <row r="38" spans="1:3" s="11" customFormat="1" x14ac:dyDescent="0.3">
      <c r="A38" s="12" t="s">
        <v>118</v>
      </c>
      <c r="B38" s="12" t="s">
        <v>210</v>
      </c>
      <c r="C38" s="19" t="s">
        <v>216</v>
      </c>
    </row>
    <row r="39" spans="1:3" s="11" customFormat="1" ht="28" x14ac:dyDescent="0.3">
      <c r="A39" s="12" t="s">
        <v>118</v>
      </c>
      <c r="B39" s="12" t="s">
        <v>211</v>
      </c>
      <c r="C39" s="19" t="s">
        <v>239</v>
      </c>
    </row>
    <row r="40" spans="1:3" s="11" customFormat="1" x14ac:dyDescent="0.3">
      <c r="A40" s="12" t="s">
        <v>118</v>
      </c>
      <c r="B40" s="12" t="s">
        <v>212</v>
      </c>
      <c r="C40" s="19" t="s">
        <v>240</v>
      </c>
    </row>
    <row r="41" spans="1:3" s="11" customFormat="1" x14ac:dyDescent="0.3">
      <c r="A41" s="12" t="s">
        <v>118</v>
      </c>
      <c r="B41" s="12" t="s">
        <v>213</v>
      </c>
      <c r="C41" s="19" t="s">
        <v>217</v>
      </c>
    </row>
    <row r="42" spans="1:3" s="11" customFormat="1" x14ac:dyDescent="0.3">
      <c r="A42" s="12" t="s">
        <v>118</v>
      </c>
      <c r="B42" s="12" t="s">
        <v>214</v>
      </c>
      <c r="C42" s="19" t="s">
        <v>218</v>
      </c>
    </row>
    <row r="43" spans="1:3" s="11" customFormat="1" ht="28" x14ac:dyDescent="0.3">
      <c r="A43" s="12" t="s">
        <v>118</v>
      </c>
      <c r="B43" s="12" t="s">
        <v>241</v>
      </c>
      <c r="C43" s="19" t="s">
        <v>242</v>
      </c>
    </row>
    <row r="44" spans="1:3" s="11" customFormat="1" x14ac:dyDescent="0.3">
      <c r="A44" s="12" t="s">
        <v>118</v>
      </c>
      <c r="B44" s="12" t="s">
        <v>243</v>
      </c>
      <c r="C44" s="19" t="s">
        <v>254</v>
      </c>
    </row>
    <row r="45" spans="1:3" s="11" customFormat="1" x14ac:dyDescent="0.3">
      <c r="A45" s="12" t="s">
        <v>118</v>
      </c>
      <c r="B45" s="12" t="s">
        <v>244</v>
      </c>
      <c r="C45" s="19" t="s">
        <v>255</v>
      </c>
    </row>
    <row r="46" spans="1:3" s="11" customFormat="1" x14ac:dyDescent="0.3">
      <c r="A46" s="12" t="s">
        <v>118</v>
      </c>
      <c r="B46" s="12" t="s">
        <v>245</v>
      </c>
      <c r="C46" s="19" t="s">
        <v>256</v>
      </c>
    </row>
    <row r="47" spans="1:3" s="11" customFormat="1" x14ac:dyDescent="0.3">
      <c r="A47" s="12" t="s">
        <v>118</v>
      </c>
      <c r="B47" s="12" t="s">
        <v>246</v>
      </c>
      <c r="C47" s="19" t="s">
        <v>257</v>
      </c>
    </row>
    <row r="48" spans="1:3" s="11" customFormat="1" x14ac:dyDescent="0.3">
      <c r="A48" s="12" t="s">
        <v>118</v>
      </c>
      <c r="B48" s="12" t="s">
        <v>247</v>
      </c>
      <c r="C48" s="19" t="s">
        <v>258</v>
      </c>
    </row>
    <row r="49" spans="1:3" s="11" customFormat="1" x14ac:dyDescent="0.3">
      <c r="A49" s="12" t="s">
        <v>118</v>
      </c>
      <c r="B49" s="12" t="s">
        <v>248</v>
      </c>
      <c r="C49" s="19" t="s">
        <v>259</v>
      </c>
    </row>
    <row r="50" spans="1:3" s="11" customFormat="1" x14ac:dyDescent="0.3">
      <c r="A50" s="12" t="s">
        <v>118</v>
      </c>
      <c r="B50" s="12" t="s">
        <v>249</v>
      </c>
      <c r="C50" s="19" t="s">
        <v>260</v>
      </c>
    </row>
    <row r="51" spans="1:3" s="11" customFormat="1" x14ac:dyDescent="0.3">
      <c r="A51" s="12" t="s">
        <v>118</v>
      </c>
      <c r="B51" s="12" t="s">
        <v>250</v>
      </c>
      <c r="C51" s="19" t="s">
        <v>261</v>
      </c>
    </row>
    <row r="52" spans="1:3" s="11" customFormat="1" x14ac:dyDescent="0.3">
      <c r="A52" s="12" t="s">
        <v>118</v>
      </c>
      <c r="B52" s="12" t="s">
        <v>73</v>
      </c>
      <c r="C52" s="19" t="s">
        <v>262</v>
      </c>
    </row>
    <row r="53" spans="1:3" s="11" customFormat="1" x14ac:dyDescent="0.3">
      <c r="A53" s="12" t="s">
        <v>118</v>
      </c>
      <c r="B53" s="12" t="s">
        <v>74</v>
      </c>
      <c r="C53" s="19" t="s">
        <v>263</v>
      </c>
    </row>
    <row r="54" spans="1:3" s="11" customFormat="1" x14ac:dyDescent="0.3">
      <c r="A54" s="12" t="s">
        <v>118</v>
      </c>
      <c r="B54" s="12" t="s">
        <v>251</v>
      </c>
      <c r="C54" s="19" t="s">
        <v>264</v>
      </c>
    </row>
    <row r="55" spans="1:3" s="11" customFormat="1" ht="28" x14ac:dyDescent="0.3">
      <c r="A55" s="12" t="s">
        <v>118</v>
      </c>
      <c r="B55" s="12" t="s">
        <v>75</v>
      </c>
      <c r="C55" s="19" t="s">
        <v>265</v>
      </c>
    </row>
    <row r="56" spans="1:3" s="11" customFormat="1" x14ac:dyDescent="0.3">
      <c r="A56" s="12" t="s">
        <v>118</v>
      </c>
      <c r="B56" s="12" t="s">
        <v>252</v>
      </c>
      <c r="C56" s="19" t="s">
        <v>266</v>
      </c>
    </row>
    <row r="57" spans="1:3" s="11" customFormat="1" x14ac:dyDescent="0.3">
      <c r="A57" s="12" t="s">
        <v>118</v>
      </c>
      <c r="B57" s="12" t="s">
        <v>253</v>
      </c>
      <c r="C57" s="19" t="s">
        <v>267</v>
      </c>
    </row>
    <row r="58" spans="1:3" s="11" customFormat="1" x14ac:dyDescent="0.3">
      <c r="A58" s="12" t="s">
        <v>118</v>
      </c>
      <c r="B58" s="12" t="s">
        <v>91</v>
      </c>
      <c r="C58" s="19" t="s">
        <v>268</v>
      </c>
    </row>
  </sheetData>
  <mergeCells count="11">
    <mergeCell ref="A32:A34"/>
    <mergeCell ref="A29:A3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</mergeCells>
  <phoneticPr fontId="1" type="noConversion"/>
  <conditionalFormatting sqref="A2:C32 A36:C58">
    <cfRule type="expression" dxfId="5" priority="1">
      <formula>MOD(ROW(A1),2)=0</formula>
    </cfRule>
  </conditionalFormatting>
  <conditionalFormatting sqref="A35:C35">
    <cfRule type="expression" dxfId="4" priority="23">
      <formula>MOD(ROW(A31),2)=0</formula>
    </cfRule>
  </conditionalFormatting>
  <conditionalFormatting sqref="B33:C33">
    <cfRule type="expression" dxfId="3" priority="27">
      <formula>MOD(ROW(B31),2)=0</formula>
    </cfRule>
  </conditionalFormatting>
  <conditionalFormatting sqref="B34:C34">
    <cfRule type="expression" dxfId="2" priority="25">
      <formula>MOD(ROW(B31),2)=0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B653-3A77-4581-AA10-F7597AFF727D}">
  <dimension ref="A1:C9"/>
  <sheetViews>
    <sheetView workbookViewId="0">
      <selection activeCell="C21" sqref="C21"/>
    </sheetView>
  </sheetViews>
  <sheetFormatPr defaultColWidth="8.9140625" defaultRowHeight="14" x14ac:dyDescent="0.3"/>
  <cols>
    <col min="1" max="1" width="5.33203125" style="4" customWidth="1"/>
    <col min="2" max="2" width="8.9140625" style="4"/>
    <col min="3" max="3" width="108.9140625" style="4" customWidth="1"/>
    <col min="4" max="16384" width="8.9140625" style="4"/>
  </cols>
  <sheetData>
    <row r="1" spans="1:3" x14ac:dyDescent="0.3">
      <c r="A1" s="7" t="s">
        <v>82</v>
      </c>
      <c r="B1" s="7" t="s">
        <v>83</v>
      </c>
      <c r="C1" s="7" t="s">
        <v>59</v>
      </c>
    </row>
    <row r="2" spans="1:3" ht="28" x14ac:dyDescent="0.3">
      <c r="A2" s="9">
        <v>1</v>
      </c>
      <c r="B2" s="9" t="s">
        <v>86</v>
      </c>
      <c r="C2" s="13" t="s">
        <v>84</v>
      </c>
    </row>
    <row r="3" spans="1:3" ht="28" x14ac:dyDescent="0.3">
      <c r="A3" s="9">
        <v>2</v>
      </c>
      <c r="B3" s="9" t="s">
        <v>85</v>
      </c>
      <c r="C3" s="13" t="s">
        <v>93</v>
      </c>
    </row>
    <row r="4" spans="1:3" ht="28" x14ac:dyDescent="0.3">
      <c r="A4" s="9">
        <v>3</v>
      </c>
      <c r="B4" s="9" t="s">
        <v>87</v>
      </c>
      <c r="C4" s="13" t="s">
        <v>94</v>
      </c>
    </row>
    <row r="5" spans="1:3" ht="28" x14ac:dyDescent="0.3">
      <c r="A5" s="9">
        <v>4</v>
      </c>
      <c r="B5" s="9" t="s">
        <v>88</v>
      </c>
      <c r="C5" s="13" t="s">
        <v>95</v>
      </c>
    </row>
    <row r="6" spans="1:3" x14ac:dyDescent="0.3">
      <c r="A6" s="9">
        <v>5</v>
      </c>
      <c r="B6" s="9" t="s">
        <v>89</v>
      </c>
      <c r="C6" s="13" t="s">
        <v>96</v>
      </c>
    </row>
    <row r="7" spans="1:3" ht="28" x14ac:dyDescent="0.3">
      <c r="A7" s="9">
        <v>6</v>
      </c>
      <c r="B7" s="9" t="s">
        <v>90</v>
      </c>
      <c r="C7" s="13" t="s">
        <v>97</v>
      </c>
    </row>
    <row r="8" spans="1:3" ht="28" x14ac:dyDescent="0.3">
      <c r="A8" s="9">
        <v>7</v>
      </c>
      <c r="B8" s="9" t="s">
        <v>91</v>
      </c>
      <c r="C8" s="13" t="s">
        <v>98</v>
      </c>
    </row>
    <row r="9" spans="1:3" ht="28" x14ac:dyDescent="0.3">
      <c r="A9" s="9">
        <v>8</v>
      </c>
      <c r="B9" s="9" t="s">
        <v>92</v>
      </c>
      <c r="C9" s="13" t="s">
        <v>99</v>
      </c>
    </row>
  </sheetData>
  <phoneticPr fontId="1" type="noConversion"/>
  <conditionalFormatting sqref="A2:C9">
    <cfRule type="expression" dxfId="1" priority="1">
      <formula>MOD(ROW(A1),2)=0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AE5E-E35B-46E0-B644-AF229FE4C332}">
  <dimension ref="A1:B37"/>
  <sheetViews>
    <sheetView topLeftCell="A19" workbookViewId="0">
      <selection sqref="A1:B37"/>
    </sheetView>
  </sheetViews>
  <sheetFormatPr defaultColWidth="8.9140625" defaultRowHeight="14" x14ac:dyDescent="0.3"/>
  <cols>
    <col min="1" max="1" width="7.33203125" style="2" customWidth="1"/>
    <col min="2" max="2" width="35.9140625" style="4" customWidth="1"/>
    <col min="3" max="16384" width="8.9140625" style="4"/>
  </cols>
  <sheetData>
    <row r="1" spans="1:2" x14ac:dyDescent="0.3">
      <c r="A1" s="7" t="s">
        <v>117</v>
      </c>
      <c r="B1" s="7" t="s">
        <v>52</v>
      </c>
    </row>
    <row r="2" spans="1:2" x14ac:dyDescent="0.3">
      <c r="A2" s="9">
        <v>11</v>
      </c>
      <c r="B2" s="9" t="s">
        <v>142</v>
      </c>
    </row>
    <row r="3" spans="1:2" x14ac:dyDescent="0.3">
      <c r="A3" s="9">
        <v>12</v>
      </c>
      <c r="B3" s="9" t="s">
        <v>143</v>
      </c>
    </row>
    <row r="4" spans="1:2" x14ac:dyDescent="0.3">
      <c r="A4" s="9">
        <v>13</v>
      </c>
      <c r="B4" s="9" t="s">
        <v>144</v>
      </c>
    </row>
    <row r="5" spans="1:2" x14ac:dyDescent="0.3">
      <c r="A5" s="9">
        <v>14</v>
      </c>
      <c r="B5" s="9" t="s">
        <v>145</v>
      </c>
    </row>
    <row r="6" spans="1:2" x14ac:dyDescent="0.3">
      <c r="A6" s="9">
        <v>15</v>
      </c>
      <c r="B6" s="9" t="s">
        <v>146</v>
      </c>
    </row>
    <row r="7" spans="1:2" x14ac:dyDescent="0.3">
      <c r="A7" s="9">
        <v>16</v>
      </c>
      <c r="B7" s="9" t="s">
        <v>147</v>
      </c>
    </row>
    <row r="8" spans="1:2" x14ac:dyDescent="0.3">
      <c r="A8" s="9">
        <v>21</v>
      </c>
      <c r="B8" s="9" t="s">
        <v>148</v>
      </c>
    </row>
    <row r="9" spans="1:2" x14ac:dyDescent="0.3">
      <c r="A9" s="9">
        <v>22</v>
      </c>
      <c r="B9" s="9" t="s">
        <v>149</v>
      </c>
    </row>
    <row r="10" spans="1:2" x14ac:dyDescent="0.3">
      <c r="A10" s="9">
        <v>23</v>
      </c>
      <c r="B10" s="9" t="s">
        <v>150</v>
      </c>
    </row>
    <row r="11" spans="1:2" x14ac:dyDescent="0.3">
      <c r="A11" s="9">
        <v>24</v>
      </c>
      <c r="B11" s="9" t="s">
        <v>151</v>
      </c>
    </row>
    <row r="12" spans="1:2" x14ac:dyDescent="0.3">
      <c r="A12" s="9">
        <v>25</v>
      </c>
      <c r="B12" s="9" t="s">
        <v>152</v>
      </c>
    </row>
    <row r="13" spans="1:2" x14ac:dyDescent="0.3">
      <c r="A13" s="9">
        <v>26</v>
      </c>
      <c r="B13" s="9" t="s">
        <v>153</v>
      </c>
    </row>
    <row r="14" spans="1:2" x14ac:dyDescent="0.3">
      <c r="A14" s="9">
        <v>31</v>
      </c>
      <c r="B14" s="9" t="s">
        <v>154</v>
      </c>
    </row>
    <row r="15" spans="1:2" x14ac:dyDescent="0.3">
      <c r="A15" s="9">
        <v>32</v>
      </c>
      <c r="B15" s="9" t="s">
        <v>155</v>
      </c>
    </row>
    <row r="16" spans="1:2" x14ac:dyDescent="0.3">
      <c r="A16" s="9">
        <v>33</v>
      </c>
      <c r="B16" s="9" t="s">
        <v>156</v>
      </c>
    </row>
    <row r="17" spans="1:2" x14ac:dyDescent="0.3">
      <c r="A17" s="9">
        <v>34</v>
      </c>
      <c r="B17" s="9" t="s">
        <v>157</v>
      </c>
    </row>
    <row r="18" spans="1:2" x14ac:dyDescent="0.3">
      <c r="A18" s="9">
        <v>35</v>
      </c>
      <c r="B18" s="9" t="s">
        <v>158</v>
      </c>
    </row>
    <row r="19" spans="1:2" x14ac:dyDescent="0.3">
      <c r="A19" s="9">
        <v>36</v>
      </c>
      <c r="B19" s="9" t="s">
        <v>159</v>
      </c>
    </row>
    <row r="20" spans="1:2" x14ac:dyDescent="0.3">
      <c r="A20" s="9">
        <v>41</v>
      </c>
      <c r="B20" s="9" t="s">
        <v>160</v>
      </c>
    </row>
    <row r="21" spans="1:2" x14ac:dyDescent="0.3">
      <c r="A21" s="9">
        <v>42</v>
      </c>
      <c r="B21" s="9" t="s">
        <v>161</v>
      </c>
    </row>
    <row r="22" spans="1:2" x14ac:dyDescent="0.3">
      <c r="A22" s="9">
        <v>43</v>
      </c>
      <c r="B22" s="9" t="s">
        <v>162</v>
      </c>
    </row>
    <row r="23" spans="1:2" x14ac:dyDescent="0.3">
      <c r="A23" s="9">
        <v>44</v>
      </c>
      <c r="B23" s="9" t="s">
        <v>163</v>
      </c>
    </row>
    <row r="24" spans="1:2" x14ac:dyDescent="0.3">
      <c r="A24" s="9">
        <v>45</v>
      </c>
      <c r="B24" s="9" t="s">
        <v>164</v>
      </c>
    </row>
    <row r="25" spans="1:2" x14ac:dyDescent="0.3">
      <c r="A25" s="9">
        <v>46</v>
      </c>
      <c r="B25" s="9" t="s">
        <v>165</v>
      </c>
    </row>
    <row r="26" spans="1:2" x14ac:dyDescent="0.3">
      <c r="A26" s="9">
        <v>51</v>
      </c>
      <c r="B26" s="9" t="s">
        <v>166</v>
      </c>
    </row>
    <row r="27" spans="1:2" x14ac:dyDescent="0.3">
      <c r="A27" s="9">
        <v>52</v>
      </c>
      <c r="B27" s="9" t="s">
        <v>167</v>
      </c>
    </row>
    <row r="28" spans="1:2" x14ac:dyDescent="0.3">
      <c r="A28" s="9">
        <v>53</v>
      </c>
      <c r="B28" s="9" t="s">
        <v>168</v>
      </c>
    </row>
    <row r="29" spans="1:2" x14ac:dyDescent="0.3">
      <c r="A29" s="9">
        <v>54</v>
      </c>
      <c r="B29" s="9" t="s">
        <v>169</v>
      </c>
    </row>
    <row r="30" spans="1:2" x14ac:dyDescent="0.3">
      <c r="A30" s="9">
        <v>55</v>
      </c>
      <c r="B30" s="9" t="s">
        <v>170</v>
      </c>
    </row>
    <row r="31" spans="1:2" x14ac:dyDescent="0.3">
      <c r="A31" s="9">
        <v>56</v>
      </c>
      <c r="B31" s="9" t="s">
        <v>171</v>
      </c>
    </row>
    <row r="32" spans="1:2" x14ac:dyDescent="0.3">
      <c r="A32" s="9">
        <v>61</v>
      </c>
      <c r="B32" s="9" t="s">
        <v>172</v>
      </c>
    </row>
    <row r="33" spans="1:2" x14ac:dyDescent="0.3">
      <c r="A33" s="9">
        <v>62</v>
      </c>
      <c r="B33" s="9" t="s">
        <v>173</v>
      </c>
    </row>
    <row r="34" spans="1:2" x14ac:dyDescent="0.3">
      <c r="A34" s="9">
        <v>63</v>
      </c>
      <c r="B34" s="9" t="s">
        <v>174</v>
      </c>
    </row>
    <row r="35" spans="1:2" x14ac:dyDescent="0.3">
      <c r="A35" s="9">
        <v>64</v>
      </c>
      <c r="B35" s="9" t="s">
        <v>175</v>
      </c>
    </row>
    <row r="36" spans="1:2" x14ac:dyDescent="0.3">
      <c r="A36" s="9">
        <v>65</v>
      </c>
      <c r="B36" s="9" t="s">
        <v>176</v>
      </c>
    </row>
    <row r="37" spans="1:2" x14ac:dyDescent="0.3">
      <c r="A37" s="9">
        <v>66</v>
      </c>
      <c r="B37" s="9" t="s">
        <v>177</v>
      </c>
    </row>
  </sheetData>
  <phoneticPr fontId="1" type="noConversion"/>
  <conditionalFormatting sqref="A2:B37">
    <cfRule type="expression" dxfId="0" priority="1">
      <formula>MOD(ROW(A1),2)=0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7E67-48EF-4E3A-8C8C-7405561233C9}">
  <dimension ref="A1:I31"/>
  <sheetViews>
    <sheetView workbookViewId="0">
      <selection activeCell="A20" sqref="A20"/>
    </sheetView>
  </sheetViews>
  <sheetFormatPr defaultRowHeight="14" x14ac:dyDescent="0.3"/>
  <cols>
    <col min="1" max="3" width="10.33203125" style="1" customWidth="1"/>
    <col min="4" max="6" width="10.58203125" style="1" customWidth="1"/>
    <col min="7" max="8" width="8.9140625" style="1"/>
    <col min="9" max="9" width="55.33203125" customWidth="1"/>
  </cols>
  <sheetData>
    <row r="1" spans="1:9" x14ac:dyDescent="0.3">
      <c r="A1" s="1" t="s">
        <v>1</v>
      </c>
      <c r="B1" s="1" t="s">
        <v>25</v>
      </c>
      <c r="C1" s="1" t="s">
        <v>24</v>
      </c>
      <c r="D1" s="1" t="s">
        <v>76</v>
      </c>
      <c r="E1" s="1" t="s">
        <v>77</v>
      </c>
      <c r="F1" s="1" t="s">
        <v>78</v>
      </c>
      <c r="G1" s="1" t="s">
        <v>81</v>
      </c>
      <c r="H1" s="1" t="s">
        <v>80</v>
      </c>
      <c r="I1" s="1" t="s">
        <v>58</v>
      </c>
    </row>
    <row r="2" spans="1:9" x14ac:dyDescent="0.3">
      <c r="A2" s="16" t="str">
        <f>天赋表!A2</f>
        <v>学者</v>
      </c>
      <c r="B2" s="1">
        <v>4</v>
      </c>
      <c r="C2" s="1">
        <v>6</v>
      </c>
      <c r="D2" s="1" t="str">
        <f>天赋表!B2</f>
        <v>书虫</v>
      </c>
      <c r="E2" s="1" t="str">
        <f>天赋表!B3</f>
        <v>学富五车</v>
      </c>
      <c r="F2" s="1" t="str">
        <f>天赋表!B4</f>
        <v>知识是可靠的</v>
      </c>
      <c r="G2" s="1" t="s">
        <v>43</v>
      </c>
      <c r="H2" s="1" t="s">
        <v>45</v>
      </c>
      <c r="I2" s="1" t="s">
        <v>120</v>
      </c>
    </row>
    <row r="3" spans="1:9" x14ac:dyDescent="0.3">
      <c r="A3" s="16" t="str">
        <f>天赋表!A5</f>
        <v>医生</v>
      </c>
      <c r="B3" s="1">
        <v>4</v>
      </c>
      <c r="C3" s="1">
        <v>6</v>
      </c>
      <c r="D3" s="1" t="str">
        <f>天赋表!B5</f>
        <v>军医</v>
      </c>
      <c r="E3" s="1" t="str">
        <f>天赋表!B6</f>
        <v>主任医师</v>
      </c>
      <c r="F3" s="1" t="str">
        <f>天赋表!B7</f>
        <v>应急医学</v>
      </c>
      <c r="G3" s="1" t="s">
        <v>43</v>
      </c>
      <c r="H3" s="1" t="s">
        <v>42</v>
      </c>
      <c r="I3" s="1" t="s">
        <v>278</v>
      </c>
    </row>
    <row r="4" spans="1:9" x14ac:dyDescent="0.3">
      <c r="A4" s="16" t="str">
        <f>天赋表!A8</f>
        <v>猎人</v>
      </c>
      <c r="B4" s="1">
        <v>2</v>
      </c>
      <c r="C4" s="1">
        <v>4</v>
      </c>
      <c r="D4" s="1" t="str">
        <f>天赋表!B8</f>
        <v>寻血犬</v>
      </c>
      <c r="E4" s="1" t="str">
        <f>天赋表!B9</f>
        <v>草药专家</v>
      </c>
      <c r="F4" s="1" t="str">
        <f>天赋表!B10</f>
        <v>神射手</v>
      </c>
      <c r="G4" s="1" t="s">
        <v>41</v>
      </c>
      <c r="H4" s="1" t="s">
        <v>51</v>
      </c>
      <c r="I4" s="1" t="s">
        <v>122</v>
      </c>
    </row>
    <row r="5" spans="1:9" x14ac:dyDescent="0.3">
      <c r="A5" s="16" t="str">
        <f>天赋表!A11</f>
        <v>神秘学家</v>
      </c>
      <c r="B5" s="1">
        <v>1</v>
      </c>
      <c r="C5" s="1">
        <v>4</v>
      </c>
      <c r="D5" s="1" t="str">
        <f>天赋表!B11</f>
        <v>魔术手法</v>
      </c>
      <c r="E5" s="1" t="str">
        <f>天赋表!B12</f>
        <v>灵媒</v>
      </c>
      <c r="F5" s="1" t="str">
        <f>天赋表!B13</f>
        <v>恐惧来袭</v>
      </c>
      <c r="G5" s="1" t="s">
        <v>41</v>
      </c>
      <c r="H5" s="1" t="s">
        <v>100</v>
      </c>
      <c r="I5" s="1" t="s">
        <v>119</v>
      </c>
    </row>
    <row r="6" spans="1:9" x14ac:dyDescent="0.3">
      <c r="A6" s="16" t="str">
        <f>天赋表!A14</f>
        <v>军官</v>
      </c>
      <c r="B6" s="1">
        <v>3</v>
      </c>
      <c r="C6" s="1">
        <v>7</v>
      </c>
      <c r="D6" s="1" t="str">
        <f>天赋表!B14</f>
        <v>久经沙场</v>
      </c>
      <c r="E6" s="1" t="str">
        <f>天赋表!B15</f>
        <v>绅士</v>
      </c>
      <c r="F6" s="1" t="str">
        <f>天赋表!B16</f>
        <v>战术家</v>
      </c>
      <c r="G6" s="1" t="s">
        <v>41</v>
      </c>
      <c r="H6" s="1" t="s">
        <v>51</v>
      </c>
      <c r="I6" s="1" t="s">
        <v>123</v>
      </c>
    </row>
    <row r="7" spans="1:9" x14ac:dyDescent="0.3">
      <c r="A7" s="16" t="str">
        <f>天赋表!A17</f>
        <v>牧师</v>
      </c>
      <c r="B7" s="1">
        <v>4</v>
      </c>
      <c r="C7" s="1">
        <v>5</v>
      </c>
      <c r="D7" s="1" t="str">
        <f>天赋表!B17</f>
        <v>赦免</v>
      </c>
      <c r="E7" s="1" t="str">
        <f>天赋表!B18</f>
        <v>祝福</v>
      </c>
      <c r="F7" s="1" t="str">
        <f>天赋表!B19</f>
        <v>忏悔者</v>
      </c>
      <c r="G7" s="1" t="s">
        <v>47</v>
      </c>
      <c r="H7" s="1" t="s">
        <v>50</v>
      </c>
      <c r="I7" s="1" t="s">
        <v>124</v>
      </c>
    </row>
    <row r="8" spans="1:9" x14ac:dyDescent="0.3">
      <c r="A8" s="16" t="str">
        <f>天赋表!A20</f>
        <v>私家侦探</v>
      </c>
      <c r="B8" s="1">
        <v>2</v>
      </c>
      <c r="C8" s="1">
        <v>5</v>
      </c>
      <c r="D8" s="1" t="str">
        <f>天赋表!B20</f>
        <v>鹰眼</v>
      </c>
      <c r="E8" s="1" t="str">
        <f>天赋表!B21</f>
        <v>基础推演法</v>
      </c>
      <c r="F8" s="1" t="str">
        <f>天赋表!B22</f>
        <v>专注</v>
      </c>
      <c r="G8" s="1" t="s">
        <v>43</v>
      </c>
      <c r="H8" s="1" t="s">
        <v>44</v>
      </c>
      <c r="I8" s="1" t="s">
        <v>125</v>
      </c>
    </row>
    <row r="9" spans="1:9" x14ac:dyDescent="0.3">
      <c r="A9" s="16" t="str">
        <f>天赋表!A23</f>
        <v>仆人</v>
      </c>
      <c r="B9" s="1">
        <v>2</v>
      </c>
      <c r="C9" s="1">
        <v>4</v>
      </c>
      <c r="D9" s="1" t="str">
        <f>天赋表!B23</f>
        <v>忠诚</v>
      </c>
      <c r="E9" s="1" t="str">
        <f>天赋表!B24</f>
        <v>强硬如钉</v>
      </c>
      <c r="F9" s="1" t="str">
        <f>天赋表!B25</f>
        <v>坚韧</v>
      </c>
      <c r="G9" s="1" t="s">
        <v>35</v>
      </c>
      <c r="H9" s="1" t="s">
        <v>36</v>
      </c>
      <c r="I9" s="1" t="s">
        <v>126</v>
      </c>
    </row>
    <row r="10" spans="1:9" x14ac:dyDescent="0.3">
      <c r="A10" s="16" t="str">
        <f>天赋表!A26</f>
        <v>流浪者</v>
      </c>
      <c r="B10" s="1">
        <v>1</v>
      </c>
      <c r="C10" s="1">
        <v>3</v>
      </c>
      <c r="D10" s="1" t="str">
        <f>天赋表!B26</f>
        <v>流浪者戏法</v>
      </c>
      <c r="E10" s="1" t="str">
        <f>天赋表!B27</f>
        <v>疑心</v>
      </c>
      <c r="F10" s="1" t="str">
        <f>天赋表!B28</f>
        <v>云游</v>
      </c>
      <c r="G10" s="1" t="s">
        <v>35</v>
      </c>
      <c r="H10" s="1" t="s">
        <v>49</v>
      </c>
      <c r="I10" s="1" t="s">
        <v>127</v>
      </c>
    </row>
    <row r="11" spans="1:9" x14ac:dyDescent="0.3">
      <c r="A11" s="16" t="str">
        <f>天赋表!A29</f>
        <v>作家</v>
      </c>
      <c r="B11" s="1">
        <v>2</v>
      </c>
      <c r="C11" s="1">
        <v>5</v>
      </c>
      <c r="D11" s="1" t="str">
        <f>天赋表!B29</f>
        <v>自动书写</v>
      </c>
      <c r="E11" s="1" t="str">
        <f>天赋表!B30</f>
        <v>记者</v>
      </c>
      <c r="F11" s="1" t="str">
        <f>天赋表!B31</f>
        <v>墨客</v>
      </c>
      <c r="G11" s="1" t="s">
        <v>47</v>
      </c>
      <c r="H11" s="1" t="s">
        <v>101</v>
      </c>
      <c r="I11" s="1" t="s">
        <v>121</v>
      </c>
    </row>
    <row r="12" spans="1:9" x14ac:dyDescent="0.3">
      <c r="A12" s="1" t="s">
        <v>281</v>
      </c>
      <c r="B12" s="1">
        <v>1</v>
      </c>
      <c r="C12" s="1">
        <v>3</v>
      </c>
      <c r="D12" s="16" t="str">
        <f>天赋表!B32</f>
        <v>吸血者恨意</v>
      </c>
      <c r="E12" s="16" t="str">
        <f>天赋表!B33</f>
        <v>穿刺者</v>
      </c>
      <c r="F12" s="16" t="str">
        <f>天赋表!B34</f>
        <v>猎杀时刻</v>
      </c>
      <c r="G12" s="1" t="s">
        <v>41</v>
      </c>
      <c r="H12" s="1" t="s">
        <v>140</v>
      </c>
      <c r="I12" s="1" t="s">
        <v>288</v>
      </c>
    </row>
    <row r="15" spans="1:9" x14ac:dyDescent="0.3">
      <c r="A15" s="1" t="s">
        <v>3</v>
      </c>
      <c r="B15" s="1" t="s">
        <v>2</v>
      </c>
      <c r="C15" s="1" t="s">
        <v>29</v>
      </c>
      <c r="D15" s="1" t="s">
        <v>33</v>
      </c>
      <c r="E15" s="1" t="s">
        <v>34</v>
      </c>
    </row>
    <row r="16" spans="1:9" x14ac:dyDescent="0.3">
      <c r="A16" s="1" t="s">
        <v>32</v>
      </c>
      <c r="B16" s="1">
        <v>15</v>
      </c>
      <c r="C16" s="1">
        <v>10</v>
      </c>
      <c r="D16" s="1">
        <f>B16-SUM(角色卡!D20,角色卡!I20,角色卡!N20,角色卡!S20)</f>
        <v>15</v>
      </c>
      <c r="E16" s="1">
        <f>C16-SUM(角色卡!C18,角色卡!D21:E23,角色卡!I21:J23,角色卡!N21:O23,角色卡!S21:T23)</f>
        <v>10</v>
      </c>
    </row>
    <row r="17" spans="1:5" x14ac:dyDescent="0.3">
      <c r="A17" s="1" t="s">
        <v>31</v>
      </c>
      <c r="B17" s="1">
        <v>14</v>
      </c>
      <c r="C17" s="1">
        <v>12</v>
      </c>
      <c r="D17" s="1">
        <f>B17-SUM(角色卡!D20,角色卡!I20,角色卡!N20,角色卡!S20)</f>
        <v>14</v>
      </c>
      <c r="E17" s="1">
        <f>C17-SUM(角色卡!C18,角色卡!D21:E23,角色卡!I21:J23,角色卡!N21:O23,角色卡!S21:T23)</f>
        <v>12</v>
      </c>
    </row>
    <row r="18" spans="1:5" x14ac:dyDescent="0.3">
      <c r="A18" s="1" t="s">
        <v>30</v>
      </c>
      <c r="B18" s="1">
        <v>13</v>
      </c>
      <c r="C18" s="1">
        <v>14</v>
      </c>
      <c r="D18" s="1">
        <f>B18-SUM(角色卡!D20,角色卡!I20,角色卡!N20,角色卡!S20)</f>
        <v>13</v>
      </c>
      <c r="E18" s="1">
        <f>C18-SUM(角色卡!C18,角色卡!D21:E23,角色卡!I21:J23,角色卡!N21:O23,角色卡!S21:T23)</f>
        <v>14</v>
      </c>
    </row>
    <row r="20" spans="1:5" x14ac:dyDescent="0.3">
      <c r="A20" s="1" t="s">
        <v>132</v>
      </c>
    </row>
    <row r="21" spans="1:5" ht="14.4" customHeight="1" x14ac:dyDescent="0.3">
      <c r="A21" s="1" t="str">
        <f t="shared" ref="A21:A29" si="0">A2</f>
        <v>学者</v>
      </c>
      <c r="B21" s="1" t="str">
        <f t="shared" ref="B21:B30" si="1">D2</f>
        <v>书虫</v>
      </c>
      <c r="C21" s="1" t="str">
        <f t="shared" ref="C21:C30" si="2">E2</f>
        <v>学富五车</v>
      </c>
      <c r="D21" s="1" t="str">
        <f t="shared" ref="D21:D30" si="3">F2</f>
        <v>知识是可靠的</v>
      </c>
    </row>
    <row r="22" spans="1:5" x14ac:dyDescent="0.3">
      <c r="A22" s="1" t="str">
        <f t="shared" si="0"/>
        <v>医生</v>
      </c>
      <c r="B22" s="1" t="str">
        <f t="shared" si="1"/>
        <v>军医</v>
      </c>
      <c r="C22" s="1" t="str">
        <f t="shared" si="2"/>
        <v>主任医师</v>
      </c>
      <c r="D22" s="1" t="str">
        <f t="shared" si="3"/>
        <v>应急医学</v>
      </c>
    </row>
    <row r="23" spans="1:5" x14ac:dyDescent="0.3">
      <c r="A23" s="1" t="str">
        <f t="shared" si="0"/>
        <v>猎人</v>
      </c>
      <c r="B23" s="1" t="str">
        <f t="shared" si="1"/>
        <v>寻血犬</v>
      </c>
      <c r="C23" s="1" t="str">
        <f t="shared" si="2"/>
        <v>草药专家</v>
      </c>
      <c r="D23" s="1" t="str">
        <f t="shared" si="3"/>
        <v>神射手</v>
      </c>
    </row>
    <row r="24" spans="1:5" x14ac:dyDescent="0.3">
      <c r="A24" s="1" t="str">
        <f t="shared" si="0"/>
        <v>神秘学家</v>
      </c>
      <c r="B24" s="1" t="str">
        <f t="shared" si="1"/>
        <v>魔术手法</v>
      </c>
      <c r="C24" s="1" t="str">
        <f t="shared" si="2"/>
        <v>灵媒</v>
      </c>
      <c r="D24" s="1" t="str">
        <f t="shared" si="3"/>
        <v>恐惧来袭</v>
      </c>
    </row>
    <row r="25" spans="1:5" x14ac:dyDescent="0.3">
      <c r="A25" s="1" t="str">
        <f t="shared" si="0"/>
        <v>军官</v>
      </c>
      <c r="B25" s="1" t="str">
        <f t="shared" si="1"/>
        <v>久经沙场</v>
      </c>
      <c r="C25" s="1" t="str">
        <f t="shared" si="2"/>
        <v>绅士</v>
      </c>
      <c r="D25" s="1" t="str">
        <f t="shared" si="3"/>
        <v>战术家</v>
      </c>
    </row>
    <row r="26" spans="1:5" x14ac:dyDescent="0.3">
      <c r="A26" s="1" t="str">
        <f t="shared" si="0"/>
        <v>牧师</v>
      </c>
      <c r="B26" s="1" t="str">
        <f t="shared" si="1"/>
        <v>赦免</v>
      </c>
      <c r="C26" s="1" t="str">
        <f t="shared" si="2"/>
        <v>祝福</v>
      </c>
      <c r="D26" s="1" t="str">
        <f t="shared" si="3"/>
        <v>忏悔者</v>
      </c>
    </row>
    <row r="27" spans="1:5" x14ac:dyDescent="0.3">
      <c r="A27" s="1" t="str">
        <f t="shared" si="0"/>
        <v>私家侦探</v>
      </c>
      <c r="B27" s="1" t="str">
        <f t="shared" si="1"/>
        <v>鹰眼</v>
      </c>
      <c r="C27" s="1" t="str">
        <f t="shared" si="2"/>
        <v>基础推演法</v>
      </c>
      <c r="D27" s="1" t="str">
        <f t="shared" si="3"/>
        <v>专注</v>
      </c>
    </row>
    <row r="28" spans="1:5" x14ac:dyDescent="0.3">
      <c r="A28" s="1" t="str">
        <f t="shared" si="0"/>
        <v>仆人</v>
      </c>
      <c r="B28" s="1" t="str">
        <f t="shared" si="1"/>
        <v>忠诚</v>
      </c>
      <c r="C28" s="1" t="str">
        <f t="shared" si="2"/>
        <v>强硬如钉</v>
      </c>
      <c r="D28" s="1" t="str">
        <f t="shared" si="3"/>
        <v>坚韧</v>
      </c>
    </row>
    <row r="29" spans="1:5" x14ac:dyDescent="0.3">
      <c r="A29" s="1" t="str">
        <f t="shared" si="0"/>
        <v>流浪者</v>
      </c>
      <c r="B29" s="1" t="str">
        <f t="shared" si="1"/>
        <v>流浪者戏法</v>
      </c>
      <c r="C29" s="1" t="str">
        <f t="shared" si="2"/>
        <v>疑心</v>
      </c>
      <c r="D29" s="1" t="str">
        <f t="shared" si="3"/>
        <v>云游</v>
      </c>
    </row>
    <row r="30" spans="1:5" x14ac:dyDescent="0.3">
      <c r="A30" s="1" t="s">
        <v>13</v>
      </c>
      <c r="B30" s="1" t="str">
        <f t="shared" si="1"/>
        <v>自动书写</v>
      </c>
      <c r="C30" s="1" t="str">
        <f t="shared" si="2"/>
        <v>记者</v>
      </c>
      <c r="D30" s="1" t="str">
        <f t="shared" si="3"/>
        <v>墨客</v>
      </c>
    </row>
    <row r="31" spans="1:5" x14ac:dyDescent="0.3">
      <c r="A31" s="1" t="s">
        <v>281</v>
      </c>
      <c r="B31" s="16" t="str">
        <f>D12</f>
        <v>吸血者恨意</v>
      </c>
      <c r="C31" s="16" t="str">
        <f>E12</f>
        <v>穿刺者</v>
      </c>
      <c r="D31" s="16" t="str">
        <f>F12</f>
        <v>猎杀时刻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4226-744D-401B-8F05-75D4EA469D78}">
  <dimension ref="A2:C8"/>
  <sheetViews>
    <sheetView workbookViewId="0">
      <selection activeCell="C9" sqref="C9"/>
    </sheetView>
  </sheetViews>
  <sheetFormatPr defaultRowHeight="14" x14ac:dyDescent="0.3"/>
  <cols>
    <col min="1" max="1" width="9.58203125" bestFit="1" customWidth="1"/>
  </cols>
  <sheetData>
    <row r="2" spans="1:3" x14ac:dyDescent="0.3">
      <c r="A2" t="s">
        <v>272</v>
      </c>
    </row>
    <row r="4" spans="1:3" x14ac:dyDescent="0.3">
      <c r="A4">
        <v>20220211</v>
      </c>
      <c r="B4" t="s">
        <v>271</v>
      </c>
      <c r="C4" t="s">
        <v>273</v>
      </c>
    </row>
    <row r="5" spans="1:3" x14ac:dyDescent="0.3">
      <c r="A5">
        <v>20220226</v>
      </c>
      <c r="B5" t="s">
        <v>274</v>
      </c>
      <c r="C5" t="s">
        <v>275</v>
      </c>
    </row>
    <row r="6" spans="1:3" x14ac:dyDescent="0.3">
      <c r="A6">
        <v>22021210</v>
      </c>
      <c r="B6" t="s">
        <v>276</v>
      </c>
      <c r="C6" t="s">
        <v>277</v>
      </c>
    </row>
    <row r="7" spans="1:3" x14ac:dyDescent="0.3">
      <c r="A7">
        <v>20240508</v>
      </c>
      <c r="B7" t="s">
        <v>279</v>
      </c>
      <c r="C7" t="s">
        <v>280</v>
      </c>
    </row>
    <row r="8" spans="1:3" x14ac:dyDescent="0.3">
      <c r="A8">
        <v>20250725</v>
      </c>
      <c r="B8" t="s">
        <v>289</v>
      </c>
      <c r="C8" t="s">
        <v>290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13</vt:i4>
      </vt:variant>
    </vt:vector>
  </HeadingPairs>
  <TitlesOfParts>
    <vt:vector size="19" baseType="lpstr">
      <vt:lpstr>角色卡</vt:lpstr>
      <vt:lpstr>天赋表</vt:lpstr>
      <vt:lpstr>资产表</vt:lpstr>
      <vt:lpstr>纪念物表</vt:lpstr>
      <vt:lpstr>辅助表</vt:lpstr>
      <vt:lpstr>更新记录</vt:lpstr>
      <vt:lpstr>纪念物</vt:lpstr>
      <vt:lpstr>军官</vt:lpstr>
      <vt:lpstr>猎人</vt:lpstr>
      <vt:lpstr>流浪者</vt:lpstr>
      <vt:lpstr>牧师</vt:lpstr>
      <vt:lpstr>仆人</vt:lpstr>
      <vt:lpstr>神秘学家</vt:lpstr>
      <vt:lpstr>私家侦探</vt:lpstr>
      <vt:lpstr>通用天赋</vt:lpstr>
      <vt:lpstr>吸血鬼猎人</vt:lpstr>
      <vt:lpstr>学者</vt:lpstr>
      <vt:lpstr>医生</vt:lpstr>
      <vt:lpstr>作家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renommee</dc:creator>
  <cp:lastModifiedBy>Shaw Esther</cp:lastModifiedBy>
  <cp:lastPrinted>2021-12-12T12:51:37Z</cp:lastPrinted>
  <dcterms:created xsi:type="dcterms:W3CDTF">2015-06-05T18:19:34Z</dcterms:created>
  <dcterms:modified xsi:type="dcterms:W3CDTF">2025-07-25T09:09:33Z</dcterms:modified>
</cp:coreProperties>
</file>